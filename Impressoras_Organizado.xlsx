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ressoras" sheetId="1" state="visible" r:id="rId3"/>
    <sheet name="Dashboard" sheetId="2" state="visible" r:id="rId4"/>
    <sheet name="Como Automatizar" sheetId="3" state="visible" r:id="rId5"/>
    <sheet name="Dados Originais (backup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<sst xmlns="http://schemas.openxmlformats.org/spreadsheetml/2006/main" count="1268" uniqueCount="506">
  <si>
    <t xml:space="preserve">CADASTRO DE IMPRESSORAS — IP, Nº DE SÉRIE E PIN</t>
  </si>
  <si>
    <t xml:space="preserve">Planilha reorganizada automaticamente a partir do arquivo original. Última atualização: ver célula ao lado.</t>
  </si>
  <si>
    <t xml:space="preserve">Nº</t>
  </si>
  <si>
    <t xml:space="preserve">Filial / Unidade</t>
  </si>
  <si>
    <t xml:space="preserve">Setor / Local</t>
  </si>
  <si>
    <t xml:space="preserve">Modelo da Impressora</t>
  </si>
  <si>
    <t xml:space="preserve">Nº de Série</t>
  </si>
  <si>
    <t xml:space="preserve">Endereço IP</t>
  </si>
  <si>
    <t xml:space="preserve">PIN / Observação</t>
  </si>
  <si>
    <t xml:space="preserve">Status</t>
  </si>
  <si>
    <t xml:space="preserve">Scanner
Usuario</t>
  </si>
  <si>
    <t xml:space="preserve">Scanner
Senha</t>
  </si>
  <si>
    <t xml:space="preserve">Arinos</t>
  </si>
  <si>
    <t xml:space="preserve">ARINOS (BALCÂO FUNDO)</t>
  </si>
  <si>
    <t xml:space="preserve">P3015</t>
  </si>
  <si>
    <t xml:space="preserve">BRCSG2706W</t>
  </si>
  <si>
    <t xml:space="preserve">192.168.106.34</t>
  </si>
  <si>
    <t xml:space="preserve">(verificar)</t>
  </si>
  <si>
    <t xml:space="preserve">Abatedouro Arinos</t>
  </si>
  <si>
    <t xml:space="preserve">HP 1102</t>
  </si>
  <si>
    <t xml:space="preserve">Arinos AGV</t>
  </si>
  <si>
    <t xml:space="preserve">HP 4103 Fdw</t>
  </si>
  <si>
    <t xml:space="preserve">BRBSS1D009</t>
  </si>
  <si>
    <t xml:space="preserve">192.168.106.40</t>
  </si>
  <si>
    <t xml:space="preserve">Arinos AGV Balcão</t>
  </si>
  <si>
    <t xml:space="preserve">HP 426 Fdw</t>
  </si>
  <si>
    <t xml:space="preserve">(reserva)</t>
  </si>
  <si>
    <t xml:space="preserve">Arinos AGV normal 01</t>
  </si>
  <si>
    <t xml:space="preserve">HP 4003 Dw</t>
  </si>
  <si>
    <t xml:space="preserve">BRBSR6P0FH</t>
  </si>
  <si>
    <t xml:space="preserve">192.168.106.41</t>
  </si>
  <si>
    <t xml:space="preserve">Arinos AGV normal 02</t>
  </si>
  <si>
    <t xml:space="preserve">BRBSR6P0GK</t>
  </si>
  <si>
    <t xml:space="preserve">192.168.106.42</t>
  </si>
  <si>
    <t xml:space="preserve">Arinos Mercado</t>
  </si>
  <si>
    <t xml:space="preserve">BRBSRD704C</t>
  </si>
  <si>
    <t xml:space="preserve">192.168.106.35</t>
  </si>
  <si>
    <t xml:space="preserve">Pegar PIN</t>
  </si>
  <si>
    <t xml:space="preserve">Arinos agv reserva</t>
  </si>
  <si>
    <t xml:space="preserve">HP 3015</t>
  </si>
  <si>
    <t xml:space="preserve">BRCSG2F011</t>
  </si>
  <si>
    <t xml:space="preserve">(usa o ip da que tirou)</t>
  </si>
  <si>
    <t xml:space="preserve">Arinos – Posto caixa</t>
  </si>
  <si>
    <t xml:space="preserve">BRBSQ7S0PN</t>
  </si>
  <si>
    <t xml:space="preserve">192.168.116.36</t>
  </si>
  <si>
    <t xml:space="preserve">Arinos – posto contin...</t>
  </si>
  <si>
    <t xml:space="preserve">BRBSQ51041</t>
  </si>
  <si>
    <t xml:space="preserve">192.168.116.35</t>
  </si>
  <si>
    <t xml:space="preserve">04815061</t>
  </si>
  <si>
    <t xml:space="preserve">ARI-15808</t>
  </si>
  <si>
    <t xml:space="preserve">PAR-15808</t>
  </si>
  <si>
    <t xml:space="preserve">Bonfinópolis</t>
  </si>
  <si>
    <t xml:space="preserve">Bonfin AGV normal 01</t>
  </si>
  <si>
    <t xml:space="preserve">BRBSR6P0D2</t>
  </si>
  <si>
    <t xml:space="preserve">192.168.119.36</t>
  </si>
  <si>
    <t xml:space="preserve">Bonfin AGV normal 02</t>
  </si>
  <si>
    <t xml:space="preserve">HP 4003</t>
  </si>
  <si>
    <t xml:space="preserve">BRBSS9T05H</t>
  </si>
  <si>
    <t xml:space="preserve">192.168.119.37</t>
  </si>
  <si>
    <t xml:space="preserve">verificar</t>
  </si>
  <si>
    <t xml:space="preserve">Bonfinópolis Balcão Vendas</t>
  </si>
  <si>
    <t xml:space="preserve">192.168.119.38</t>
  </si>
  <si>
    <t xml:space="preserve">Bonfinópolis Mesa Aline</t>
  </si>
  <si>
    <t xml:space="preserve">PHB8J6VFWM</t>
  </si>
  <si>
    <t xml:space="preserve">192.168.119.35</t>
  </si>
  <si>
    <t xml:space="preserve">Brasilândia</t>
  </si>
  <si>
    <t xml:space="preserve">Brasilândia AGV balcão</t>
  </si>
  <si>
    <t xml:space="preserve">HP Pro 400</t>
  </si>
  <si>
    <t xml:space="preserve">CNF8G4HDH3</t>
  </si>
  <si>
    <t xml:space="preserve">192.168.128.35</t>
  </si>
  <si>
    <t xml:space="preserve">Brasilândia AGV normal 01</t>
  </si>
  <si>
    <t xml:space="preserve">BRBSR6P08X</t>
  </si>
  <si>
    <t xml:space="preserve">192.168.128.36</t>
  </si>
  <si>
    <t xml:space="preserve">Brasilândia AGV normal 02</t>
  </si>
  <si>
    <t xml:space="preserve">BRBSR4X069</t>
  </si>
  <si>
    <t xml:space="preserve">192.168.128.37</t>
  </si>
  <si>
    <t xml:space="preserve">Brasilândia AGV reserva</t>
  </si>
  <si>
    <t xml:space="preserve">Hp 3015</t>
  </si>
  <si>
    <t xml:space="preserve">192.168.128.39</t>
  </si>
  <si>
    <t xml:space="preserve">Buritis</t>
  </si>
  <si>
    <t xml:space="preserve">Buritis AGV Balcão</t>
  </si>
  <si>
    <t xml:space="preserve">BRBSSDM09R</t>
  </si>
  <si>
    <t xml:space="preserve">192.168.125.31</t>
  </si>
  <si>
    <t xml:space="preserve">Buritis AGV Ilza</t>
  </si>
  <si>
    <t xml:space="preserve">HP Pro 428fdw</t>
  </si>
  <si>
    <t xml:space="preserve">BRDSQCF0F0</t>
  </si>
  <si>
    <t xml:space="preserve">192.168.125.30</t>
  </si>
  <si>
    <t xml:space="preserve">Buritis AGV normal 01</t>
  </si>
  <si>
    <t xml:space="preserve">BRBSR6P080</t>
  </si>
  <si>
    <t xml:space="preserve">192.168.125.32</t>
  </si>
  <si>
    <t xml:space="preserve">Buritis AGV normal 02</t>
  </si>
  <si>
    <t xml:space="preserve">BRBSRBM096</t>
  </si>
  <si>
    <t xml:space="preserve">192.168.125.33</t>
  </si>
  <si>
    <t xml:space="preserve">Cabeceira Goias</t>
  </si>
  <si>
    <t xml:space="preserve">CAG_BALCAO</t>
  </si>
  <si>
    <t xml:space="preserve">192.168.129.38</t>
  </si>
  <si>
    <t xml:space="preserve">Balcão</t>
  </si>
  <si>
    <t xml:space="preserve">CAG_ESCRITORIO</t>
  </si>
  <si>
    <t xml:space="preserve">HP 426</t>
  </si>
  <si>
    <t xml:space="preserve">BRBSV4S0KB</t>
  </si>
  <si>
    <t xml:space="preserve">192.168.129.36</t>
  </si>
  <si>
    <t xml:space="preserve">CAG_NORMAL01</t>
  </si>
  <si>
    <t xml:space="preserve">HP 4003 Fdw</t>
  </si>
  <si>
    <t xml:space="preserve">BRBS07S0P0</t>
  </si>
  <si>
    <t xml:space="preserve">192.168.129.39</t>
  </si>
  <si>
    <t xml:space="preserve">CAG_NORMAL02</t>
  </si>
  <si>
    <t xml:space="preserve">BRBSR6P0G8</t>
  </si>
  <si>
    <t xml:space="preserve">192.168.129.40</t>
  </si>
  <si>
    <t xml:space="preserve">CAG_RESERVA</t>
  </si>
  <si>
    <t xml:space="preserve">BRBSR6P0G5</t>
  </si>
  <si>
    <t xml:space="preserve">192.168.129.37</t>
  </si>
  <si>
    <t xml:space="preserve">65606446</t>
  </si>
  <si>
    <t xml:space="preserve">Cabeceira Grande</t>
  </si>
  <si>
    <t xml:space="preserve">Cab Grande</t>
  </si>
  <si>
    <t xml:space="preserve">HP 428 Fdw</t>
  </si>
  <si>
    <t xml:space="preserve">BRDSQDF0FS</t>
  </si>
  <si>
    <t xml:space="preserve">192.168.112.35</t>
  </si>
  <si>
    <t xml:space="preserve">Cab Grande AGV Continge.</t>
  </si>
  <si>
    <t xml:space="preserve">BRBSR6P0FP</t>
  </si>
  <si>
    <t xml:space="preserve">192.168.112.37</t>
  </si>
  <si>
    <t xml:space="preserve">Cab Grande AGV normal</t>
  </si>
  <si>
    <t xml:space="preserve">BRBSR6P09F</t>
  </si>
  <si>
    <t xml:space="preserve">192.168.112.36</t>
  </si>
  <si>
    <t xml:space="preserve">Cabeceira Grande (BALCÃO FUNDO)</t>
  </si>
  <si>
    <t xml:space="preserve">BRBSD6CK3H</t>
  </si>
  <si>
    <t xml:space="preserve">192.168.112.56</t>
  </si>
  <si>
    <t xml:space="preserve">Chapada</t>
  </si>
  <si>
    <t xml:space="preserve">Chapada BALCAO FUNDO</t>
  </si>
  <si>
    <t xml:space="preserve">HP P3015</t>
  </si>
  <si>
    <t xml:space="preserve">BRBHC3B70G</t>
  </si>
  <si>
    <t xml:space="preserve">192.168.152.36</t>
  </si>
  <si>
    <t xml:space="preserve">Chapada CHA_NORMAL01</t>
  </si>
  <si>
    <t xml:space="preserve">BRBSSDL00Q</t>
  </si>
  <si>
    <t xml:space="preserve">192.168.152.35</t>
  </si>
  <si>
    <t xml:space="preserve">Chapada ESCRITÓRIO</t>
  </si>
  <si>
    <t xml:space="preserve">HP M26</t>
  </si>
  <si>
    <t xml:space="preserve">CNF8G6J60X</t>
  </si>
  <si>
    <t xml:space="preserve">192.168.152.34</t>
  </si>
  <si>
    <t xml:space="preserve">Chapada RESERVA</t>
  </si>
  <si>
    <t xml:space="preserve">BRBHB3R73L</t>
  </si>
  <si>
    <t xml:space="preserve">192.168.152.37</t>
  </si>
  <si>
    <t xml:space="preserve">Dom Bosco</t>
  </si>
  <si>
    <t xml:space="preserve">Dom Bosco AGV Contig</t>
  </si>
  <si>
    <t xml:space="preserve">HP 4003Dw</t>
  </si>
  <si>
    <t xml:space="preserve">Verificar</t>
  </si>
  <si>
    <t xml:space="preserve">Dom Bosco Balcão agv</t>
  </si>
  <si>
    <t xml:space="preserve">BRBSHBP6ZW</t>
  </si>
  <si>
    <t xml:space="preserve">192.168.113.35</t>
  </si>
  <si>
    <t xml:space="preserve">Dom Bosco Mercado</t>
  </si>
  <si>
    <t xml:space="preserve">HP 4103 Dw</t>
  </si>
  <si>
    <t xml:space="preserve">BRBSRD7049</t>
  </si>
  <si>
    <t xml:space="preserve">192.168.113.38</t>
  </si>
  <si>
    <t xml:space="preserve">Dom Bosco Normal (caixa)</t>
  </si>
  <si>
    <t xml:space="preserve">BRBSR6P0FK</t>
  </si>
  <si>
    <t xml:space="preserve">192.168.113.36</t>
  </si>
  <si>
    <t xml:space="preserve">Laticínios</t>
  </si>
  <si>
    <t xml:space="preserve">Almoxarifado Laticinios</t>
  </si>
  <si>
    <t xml:space="preserve">Samsung SCX-5835</t>
  </si>
  <si>
    <t xml:space="preserve">6816BJIC60000CY</t>
  </si>
  <si>
    <t xml:space="preserve">Manual</t>
  </si>
  <si>
    <t xml:space="preserve">Escritorio Laticinios</t>
  </si>
  <si>
    <t xml:space="preserve">M426fdw</t>
  </si>
  <si>
    <t xml:space="preserve">BRBSL6M327</t>
  </si>
  <si>
    <t xml:space="preserve">192.168.118.42</t>
  </si>
  <si>
    <t xml:space="preserve">FISCALIZAÇÃO LATICINIOS</t>
  </si>
  <si>
    <t xml:space="preserve">HP 428</t>
  </si>
  <si>
    <t xml:space="preserve">BRDSR1R0GR</t>
  </si>
  <si>
    <t xml:space="preserve">192.168.118.177</t>
  </si>
  <si>
    <t xml:space="preserve">Fábrica </t>
  </si>
  <si>
    <t xml:space="preserve">Fabrica</t>
  </si>
  <si>
    <t xml:space="preserve">Fábrica</t>
  </si>
  <si>
    <t xml:space="preserve">Fabrica Almoxarifado</t>
  </si>
  <si>
    <t xml:space="preserve">BRBSL6M321</t>
  </si>
  <si>
    <t xml:space="preserve">192.168.118.53</t>
  </si>
  <si>
    <t xml:space="preserve">Fabrica Anderson</t>
  </si>
  <si>
    <t xml:space="preserve">HP laser 200</t>
  </si>
  <si>
    <t xml:space="preserve">BRBSFCPVJP</t>
  </si>
  <si>
    <t xml:space="preserve">192.168.118.57</t>
  </si>
  <si>
    <t xml:space="preserve">Fabrica Balança Escritorio</t>
  </si>
  <si>
    <t xml:space="preserve">HP LJ Pro MFP 4103</t>
  </si>
  <si>
    <t xml:space="preserve">BRBSSBF0F1</t>
  </si>
  <si>
    <t xml:space="preserve">192.168.118.50</t>
  </si>
  <si>
    <t xml:space="preserve">Fabrica Balança Granel</t>
  </si>
  <si>
    <t xml:space="preserve">BRBSR6P0FS</t>
  </si>
  <si>
    <t xml:space="preserve">192.168.118.217</t>
  </si>
  <si>
    <t xml:space="preserve">Fabrica Classificação</t>
  </si>
  <si>
    <t xml:space="preserve">BRDSP3RVM1</t>
  </si>
  <si>
    <t xml:space="preserve">192.168.118.58</t>
  </si>
  <si>
    <t xml:space="preserve">Fabrica Elias</t>
  </si>
  <si>
    <t xml:space="preserve">Hp 428 fdw</t>
  </si>
  <si>
    <t xml:space="preserve">BRDSNDYFTF</t>
  </si>
  <si>
    <t xml:space="preserve">192.168.118.47</t>
  </si>
  <si>
    <t xml:space="preserve">Fabrica Escritorio Simone</t>
  </si>
  <si>
    <t xml:space="preserve">HP LaserJet MFP M426fdw</t>
  </si>
  <si>
    <t xml:space="preserve">BRBSHBP6Z9</t>
  </si>
  <si>
    <t xml:space="preserve">192.168.118.145</t>
  </si>
  <si>
    <t xml:space="preserve">Fabrica Laboratório</t>
  </si>
  <si>
    <t xml:space="preserve">HP Laser Jet Sun</t>
  </si>
  <si>
    <t xml:space="preserve">CNF8H4WHG2</t>
  </si>
  <si>
    <t xml:space="preserve">192.168.118.55</t>
  </si>
  <si>
    <t xml:space="preserve">Fabrica Lidyane</t>
  </si>
  <si>
    <t xml:space="preserve">BRBSSBS03P</t>
  </si>
  <si>
    <t xml:space="preserve">192.168.118.51</t>
  </si>
  <si>
    <t xml:space="preserve">Fabrica Oficina Elétrica</t>
  </si>
  <si>
    <t xml:space="preserve">Hp M426fdw</t>
  </si>
  <si>
    <t xml:space="preserve">BRBSJ8H73R</t>
  </si>
  <si>
    <t xml:space="preserve">192.168.118.49</t>
  </si>
  <si>
    <t xml:space="preserve">Fabrica Portaria</t>
  </si>
  <si>
    <t xml:space="preserve">BRCSG2F017</t>
  </si>
  <si>
    <t xml:space="preserve">192.168.118.80</t>
  </si>
  <si>
    <t xml:space="preserve">Fabrica RH</t>
  </si>
  <si>
    <t xml:space="preserve">BRBSL4DMYQ</t>
  </si>
  <si>
    <t xml:space="preserve">192.168.118.54</t>
  </si>
  <si>
    <t xml:space="preserve">Fabrica Recepção Simone</t>
  </si>
  <si>
    <t xml:space="preserve">BRBSS1C0KZ</t>
  </si>
  <si>
    <t xml:space="preserve">192.168.118.56</t>
  </si>
  <si>
    <t xml:space="preserve">Fabrica Sala Washigton Gerente</t>
  </si>
  <si>
    <t xml:space="preserve">BRDSQDF0NR</t>
  </si>
  <si>
    <t xml:space="preserve">192.168.118.78</t>
  </si>
  <si>
    <t xml:space="preserve">Fabrica Sala de comando</t>
  </si>
  <si>
    <t xml:space="preserve">BRDSQDF0F3</t>
  </si>
  <si>
    <t xml:space="preserve">192.168.118.52</t>
  </si>
  <si>
    <t xml:space="preserve">Fabrica Sala representantes</t>
  </si>
  <si>
    <t xml:space="preserve">Hp Lazer Jet 400</t>
  </si>
  <si>
    <t xml:space="preserve">CNB7GCVP14</t>
  </si>
  <si>
    <t xml:space="preserve">192.168.118.48</t>
  </si>
  <si>
    <t xml:space="preserve">Fabrica Segurança do Trabalho</t>
  </si>
  <si>
    <t xml:space="preserve">M521dn</t>
  </si>
  <si>
    <t xml:space="preserve">CNB7G724Z0</t>
  </si>
  <si>
    <t xml:space="preserve">192.168.118.215</t>
  </si>
  <si>
    <t xml:space="preserve">Natalândia</t>
  </si>
  <si>
    <t xml:space="preserve">BRBSJ6670P</t>
  </si>
  <si>
    <t xml:space="preserve">192.168.121.35</t>
  </si>
  <si>
    <t xml:space="preserve">Natalândia AGV normal 01</t>
  </si>
  <si>
    <t xml:space="preserve">BRBSR6P0GJ</t>
  </si>
  <si>
    <t xml:space="preserve">192.168.121.36</t>
  </si>
  <si>
    <t xml:space="preserve">Natalândia AGV normal 02</t>
  </si>
  <si>
    <t xml:space="preserve">BRBSQ7S0NM</t>
  </si>
  <si>
    <t xml:space="preserve">192.168.121.37</t>
  </si>
  <si>
    <t xml:space="preserve">67148068</t>
  </si>
  <si>
    <t xml:space="preserve">Riachinho</t>
  </si>
  <si>
    <t xml:space="preserve">Riachinho AGV normal 01</t>
  </si>
  <si>
    <t xml:space="preserve">BRBSR6P0F8</t>
  </si>
  <si>
    <t xml:space="preserve">192.168.127.35</t>
  </si>
  <si>
    <t xml:space="preserve">Riachinho AGV normal 02</t>
  </si>
  <si>
    <t xml:space="preserve">BRBSRBL068</t>
  </si>
  <si>
    <t xml:space="preserve">192.168.127.34</t>
  </si>
  <si>
    <t xml:space="preserve">Riachinho Sala Nota fundo</t>
  </si>
  <si>
    <t xml:space="preserve">Hp laserJet 400</t>
  </si>
  <si>
    <t xml:space="preserve">CNF8H4WJHC</t>
  </si>
  <si>
    <t xml:space="preserve">192.168.127.38</t>
  </si>
  <si>
    <t xml:space="preserve">Riachinho Sala Patricia</t>
  </si>
  <si>
    <t xml:space="preserve">BRBSM4J77Z</t>
  </si>
  <si>
    <t xml:space="preserve">192.168.127.36</t>
  </si>
  <si>
    <t xml:space="preserve">Riachinho reserva</t>
  </si>
  <si>
    <t xml:space="preserve">192.168.127.37</t>
  </si>
  <si>
    <t xml:space="preserve">Rural Minas</t>
  </si>
  <si>
    <t xml:space="preserve">Rural Minas - Contingencia</t>
  </si>
  <si>
    <t xml:space="preserve">BRDSP3HKPY</t>
  </si>
  <si>
    <t xml:space="preserve">192.168.136.35</t>
  </si>
  <si>
    <t xml:space="preserve">Rural Minas Reserva</t>
  </si>
  <si>
    <t xml:space="preserve">BRCSG27029</t>
  </si>
  <si>
    <t xml:space="preserve">192.168.136.36</t>
  </si>
  <si>
    <t xml:space="preserve">RESERVA</t>
  </si>
  <si>
    <t xml:space="preserve">Rural Minas normal 01</t>
  </si>
  <si>
    <t xml:space="preserve">BRBSRBL06Q</t>
  </si>
  <si>
    <t xml:space="preserve">192.168.136.37</t>
  </si>
  <si>
    <t xml:space="preserve">Unaí</t>
  </si>
  <si>
    <t xml:space="preserve">Hospital M. Doação</t>
  </si>
  <si>
    <t xml:space="preserve">Epson Eco tank</t>
  </si>
  <si>
    <t xml:space="preserve">X5EU092132</t>
  </si>
  <si>
    <t xml:space="preserve">Marcelino</t>
  </si>
  <si>
    <t xml:space="preserve">HP 4103fdw</t>
  </si>
  <si>
    <t xml:space="preserve">BRBSV1V0KN</t>
  </si>
  <si>
    <t xml:space="preserve">172.16.10.80</t>
  </si>
  <si>
    <t xml:space="preserve">Unaí AGV Conf caixas</t>
  </si>
  <si>
    <t xml:space="preserve">BRBFD3PC9K</t>
  </si>
  <si>
    <t xml:space="preserve">172.16.12.250</t>
  </si>
  <si>
    <t xml:space="preserve">Unaí AGV Normal 01</t>
  </si>
  <si>
    <t xml:space="preserve">BRBSQ7S0NP</t>
  </si>
  <si>
    <t xml:space="preserve">172.16.12.244</t>
  </si>
  <si>
    <t xml:space="preserve">Unaí AGV Normal 02</t>
  </si>
  <si>
    <t xml:space="preserve">BRBSRBL02G</t>
  </si>
  <si>
    <t xml:space="preserve">172.16.12.245</t>
  </si>
  <si>
    <t xml:space="preserve">Unaí AGV Normal 03</t>
  </si>
  <si>
    <t xml:space="preserve">BRBSQ7S0WD</t>
  </si>
  <si>
    <t xml:space="preserve">172.16.12.246</t>
  </si>
  <si>
    <t xml:space="preserve">Unaí AGV Normal 04</t>
  </si>
  <si>
    <t xml:space="preserve">BRBSRBL0C0</t>
  </si>
  <si>
    <t xml:space="preserve">172.16.12.247</t>
  </si>
  <si>
    <t xml:space="preserve">Unaí AGV Normal 05</t>
  </si>
  <si>
    <t xml:space="preserve">BRBSRBL071</t>
  </si>
  <si>
    <t xml:space="preserve">172.16.12.248</t>
  </si>
  <si>
    <t xml:space="preserve">Unaí AGV Tele Vendas</t>
  </si>
  <si>
    <t xml:space="preserve">BRDSQCH00Q</t>
  </si>
  <si>
    <t xml:space="preserve">172.16.12.251</t>
  </si>
  <si>
    <t xml:space="preserve">Unaí AGV balcão</t>
  </si>
  <si>
    <t xml:space="preserve">BRBFC4YC0L</t>
  </si>
  <si>
    <t xml:space="preserve">172.16.12.249</t>
  </si>
  <si>
    <t xml:space="preserve">Unaí Almoxarifado 01</t>
  </si>
  <si>
    <t xml:space="preserve">HP LaserJet 400 MFP M425dnn</t>
  </si>
  <si>
    <t xml:space="preserve">CNF8GDH49F</t>
  </si>
  <si>
    <t xml:space="preserve">172.16.6.240</t>
  </si>
  <si>
    <t xml:space="preserve">Unaí Almoxarifado 02</t>
  </si>
  <si>
    <t xml:space="preserve">HP M426fdw</t>
  </si>
  <si>
    <t xml:space="preserve">BRBSJ3F7GG</t>
  </si>
  <si>
    <t xml:space="preserve">172.16.1.245</t>
  </si>
  <si>
    <t xml:space="preserve">Unaí Auditoria Contingen.</t>
  </si>
  <si>
    <t xml:space="preserve">DCP-L5652DN</t>
  </si>
  <si>
    <t xml:space="preserve">172.16.1.5</t>
  </si>
  <si>
    <t xml:space="preserve">(manual)</t>
  </si>
  <si>
    <t xml:space="preserve">Unaí Cadastro</t>
  </si>
  <si>
    <t xml:space="preserve">BRDSNDB73X</t>
  </si>
  <si>
    <t xml:space="preserve">172.16.10.240</t>
  </si>
  <si>
    <t xml:space="preserve">Unaí Caixa posto 01</t>
  </si>
  <si>
    <t xml:space="preserve">BRBFD3FC41</t>
  </si>
  <si>
    <t xml:space="preserve">USB- MANUAL</t>
  </si>
  <si>
    <t xml:space="preserve">Unaí Caixa posto 02</t>
  </si>
  <si>
    <t xml:space="preserve">HP 2035</t>
  </si>
  <si>
    <t xml:space="preserve">BRBSF6N05P</t>
  </si>
  <si>
    <t xml:space="preserve">Unaí Caixa posto 03</t>
  </si>
  <si>
    <t xml:space="preserve">BRBSF2W01T</t>
  </si>
  <si>
    <t xml:space="preserve">Unaí Comunicação</t>
  </si>
  <si>
    <t xml:space="preserve">Epson ECOTANK</t>
  </si>
  <si>
    <t xml:space="preserve">XAABP84343</t>
  </si>
  <si>
    <t xml:space="preserve">USB (MANUAL)</t>
  </si>
  <si>
    <t xml:space="preserve">Unaí Contabilidade 01</t>
  </si>
  <si>
    <t xml:space="preserve">HP MFP M428fdw</t>
  </si>
  <si>
    <t xml:space="preserve">BRDSNDYGKM</t>
  </si>
  <si>
    <t xml:space="preserve">172.16.12.240</t>
  </si>
  <si>
    <t xml:space="preserve">Unaí Contabilidade 02</t>
  </si>
  <si>
    <t xml:space="preserve">BRBHBD076Q</t>
  </si>
  <si>
    <t xml:space="preserve">172.16.11.241</t>
  </si>
  <si>
    <t xml:space="preserve">Unaí Controladoria</t>
  </si>
  <si>
    <t xml:space="preserve">HP4103 Fdw</t>
  </si>
  <si>
    <t xml:space="preserve">BRBSQ9F0BR</t>
  </si>
  <si>
    <t xml:space="preserve">172.16.1.238</t>
  </si>
  <si>
    <t xml:space="preserve">Unaí Controle Patrimonial</t>
  </si>
  <si>
    <t xml:space="preserve">BRDSQC908V</t>
  </si>
  <si>
    <t xml:space="preserve">172.16.1.248</t>
  </si>
  <si>
    <t xml:space="preserve">BRDSQBM0FC</t>
  </si>
  <si>
    <t xml:space="preserve">172.16.1.237</t>
  </si>
  <si>
    <t xml:space="preserve">Unaí Dep. AGV</t>
  </si>
  <si>
    <t xml:space="preserve">Unaí Dep. AGV Transfe.</t>
  </si>
  <si>
    <t xml:space="preserve">HP 426FDW</t>
  </si>
  <si>
    <t xml:space="preserve">BRBSKC284X</t>
  </si>
  <si>
    <t xml:space="preserve">172.16.12.252</t>
  </si>
  <si>
    <t xml:space="preserve">Unaí Dep. Ferragens</t>
  </si>
  <si>
    <t xml:space="preserve">BRBSHBP6ZJ</t>
  </si>
  <si>
    <t xml:space="preserve">172.16.6.241</t>
  </si>
  <si>
    <t xml:space="preserve">Unaí Dep. Técnico</t>
  </si>
  <si>
    <t xml:space="preserve">HP 426fdw</t>
  </si>
  <si>
    <t xml:space="preserve">BRBSJ3F7GJ</t>
  </si>
  <si>
    <t xml:space="preserve">172.16.12.242</t>
  </si>
  <si>
    <t xml:space="preserve">Unaí Deposito mercado</t>
  </si>
  <si>
    <t xml:space="preserve">BRDSP4G0VX</t>
  </si>
  <si>
    <t xml:space="preserve">172.16.9.242</t>
  </si>
  <si>
    <t xml:space="preserve">Unaí Despachante</t>
  </si>
  <si>
    <t xml:space="preserve">HP 4103</t>
  </si>
  <si>
    <t xml:space="preserve">BRBSR9M00G</t>
  </si>
  <si>
    <t xml:space="preserve">172.16.10.242</t>
  </si>
  <si>
    <t xml:space="preserve">Unaí Diretoria</t>
  </si>
  <si>
    <t xml:space="preserve">BRBSJ3F7G2</t>
  </si>
  <si>
    <t xml:space="preserve">192.168.0.39</t>
  </si>
  <si>
    <t xml:space="preserve">Unaí Financeiro</t>
  </si>
  <si>
    <t xml:space="preserve">BRDSR1S0Q4</t>
  </si>
  <si>
    <t xml:space="preserve">192.168.0.42</t>
  </si>
  <si>
    <t xml:space="preserve">Unaí Frente Caixas AGV</t>
  </si>
  <si>
    <t xml:space="preserve">BRDSQB30JT</t>
  </si>
  <si>
    <t xml:space="preserve">172.16.12.241</t>
  </si>
  <si>
    <t xml:space="preserve">Unaí Jurídico</t>
  </si>
  <si>
    <t xml:space="preserve">Unaí Laticínio</t>
  </si>
  <si>
    <t xml:space="preserve">HP 4103FDW</t>
  </si>
  <si>
    <t xml:space="preserve">BRBSRD705X</t>
  </si>
  <si>
    <t xml:space="preserve">172.16.3.241</t>
  </si>
  <si>
    <t xml:space="preserve">Unaí Laticínios Fabrica</t>
  </si>
  <si>
    <t xml:space="preserve">BRBFD4YC60</t>
  </si>
  <si>
    <t xml:space="preserve">172.16.3.242</t>
  </si>
  <si>
    <t xml:space="preserve">Unaí Meio Ambiente</t>
  </si>
  <si>
    <t xml:space="preserve">BRBSKC2832</t>
  </si>
  <si>
    <t xml:space="preserve">172.16.3.35</t>
  </si>
  <si>
    <t xml:space="preserve">Unaí Meio Ambiente Epson Colorida</t>
  </si>
  <si>
    <t xml:space="preserve">Epson</t>
  </si>
  <si>
    <t xml:space="preserve">XAABC46484</t>
  </si>
  <si>
    <t xml:space="preserve">Unaí Mercado Balcão</t>
  </si>
  <si>
    <t xml:space="preserve">HP 428fdw</t>
  </si>
  <si>
    <t xml:space="preserve">BRDSO130GM</t>
  </si>
  <si>
    <t xml:space="preserve">172.16.9.240</t>
  </si>
  <si>
    <t xml:space="preserve">Unaí Mercado Gerencia</t>
  </si>
  <si>
    <t xml:space="preserve">BRDSP7Z091</t>
  </si>
  <si>
    <t xml:space="preserve">172.16.1.246</t>
  </si>
  <si>
    <t xml:space="preserve">Unaí Oficina Elétrica</t>
  </si>
  <si>
    <t xml:space="preserve">HP428fdw</t>
  </si>
  <si>
    <t xml:space="preserve">BRDSP970H1</t>
  </si>
  <si>
    <t xml:space="preserve">172.16.7.240</t>
  </si>
  <si>
    <t xml:space="preserve">Unaí Posto</t>
  </si>
  <si>
    <t xml:space="preserve">CNF8G38B5V</t>
  </si>
  <si>
    <t xml:space="preserve">172.16.8.240</t>
  </si>
  <si>
    <t xml:space="preserve">Unaí Posto troca de óleo</t>
  </si>
  <si>
    <t xml:space="preserve">Unaí RH</t>
  </si>
  <si>
    <t xml:space="preserve">BRBSHB4703</t>
  </si>
  <si>
    <t xml:space="preserve">172.16.1.6</t>
  </si>
  <si>
    <t xml:space="preserve">Unaí Segurança do Trab.</t>
  </si>
  <si>
    <t xml:space="preserve">Lexmark mx 611</t>
  </si>
  <si>
    <t xml:space="preserve">CAB192810D55</t>
  </si>
  <si>
    <t xml:space="preserve">172.16.5.240</t>
  </si>
  <si>
    <t xml:space="preserve">Unaí Setor Transporte</t>
  </si>
  <si>
    <t xml:space="preserve">BRBSJ3F7GD</t>
  </si>
  <si>
    <t xml:space="preserve">172.16.7.241</t>
  </si>
  <si>
    <t xml:space="preserve">Unaí Setor de Compras</t>
  </si>
  <si>
    <t xml:space="preserve">BRBSN4H75D</t>
  </si>
  <si>
    <t xml:space="preserve">172.16.10.239</t>
  </si>
  <si>
    <t xml:space="preserve">Unaí Sindicato Rural</t>
  </si>
  <si>
    <t xml:space="preserve">HP 127 FN</t>
  </si>
  <si>
    <t xml:space="preserve">CNB9J6WB5M</t>
  </si>
  <si>
    <t xml:space="preserve">Unaí T.i</t>
  </si>
  <si>
    <t xml:space="preserve">BRDSP82030</t>
  </si>
  <si>
    <t xml:space="preserve">172.16.0.240</t>
  </si>
  <si>
    <t xml:space="preserve">Unaí T.i Manutenção</t>
  </si>
  <si>
    <t xml:space="preserve">Brother 5852dn</t>
  </si>
  <si>
    <t xml:space="preserve">U64198K6N310154</t>
  </si>
  <si>
    <t xml:space="preserve">172.16.0.241</t>
  </si>
  <si>
    <t xml:space="preserve">Unaí Tesouraria</t>
  </si>
  <si>
    <t xml:space="preserve">HP 426Fdw</t>
  </si>
  <si>
    <t xml:space="preserve">BRBSHBP6ZG</t>
  </si>
  <si>
    <t xml:space="preserve">172.16.1.114</t>
  </si>
  <si>
    <t xml:space="preserve">Unaí Tesouraria Elen</t>
  </si>
  <si>
    <t xml:space="preserve">HP 4103Fdw</t>
  </si>
  <si>
    <t xml:space="preserve">BRBSQ9N0ND</t>
  </si>
  <si>
    <t xml:space="preserve">172.16.1.243</t>
  </si>
  <si>
    <t xml:space="preserve">Uruana</t>
  </si>
  <si>
    <t xml:space="preserve">BRBSRD00B7</t>
  </si>
  <si>
    <t xml:space="preserve">192.168.124.33</t>
  </si>
  <si>
    <t xml:space="preserve">Uruana (BALCÃO FUNDO)</t>
  </si>
  <si>
    <t xml:space="preserve">192.168.124.34</t>
  </si>
  <si>
    <t xml:space="preserve">Uruana AGV</t>
  </si>
  <si>
    <t xml:space="preserve">BRBSHBP6ZV</t>
  </si>
  <si>
    <t xml:space="preserve">192.168.124.30</t>
  </si>
  <si>
    <t xml:space="preserve">Uruana AGV normal 01</t>
  </si>
  <si>
    <t xml:space="preserve">BRBSR6P0DT</t>
  </si>
  <si>
    <t xml:space="preserve">192.168.124.32</t>
  </si>
  <si>
    <t xml:space="preserve">Uruana AGV normal 02</t>
  </si>
  <si>
    <t xml:space="preserve">BRBSR6P0F2</t>
  </si>
  <si>
    <t xml:space="preserve">192.168.124.31</t>
  </si>
  <si>
    <t xml:space="preserve">Urucuia</t>
  </si>
  <si>
    <t xml:space="preserve">Urucuia (BALCÃO FUNDO)</t>
  </si>
  <si>
    <t xml:space="preserve">192.168.130.34</t>
  </si>
  <si>
    <t xml:space="preserve">Urucuia AGV Contin..</t>
  </si>
  <si>
    <t xml:space="preserve">BRBSJ6D6ZY</t>
  </si>
  <si>
    <t xml:space="preserve">192.168.130.37</t>
  </si>
  <si>
    <t xml:space="preserve">Urucuia AGV normal 01</t>
  </si>
  <si>
    <t xml:space="preserve">BRBSR6P0G4</t>
  </si>
  <si>
    <t xml:space="preserve">192.168.130.35</t>
  </si>
  <si>
    <t xml:space="preserve">Urucuia AGV normal 02</t>
  </si>
  <si>
    <t xml:space="preserve">BRBSR6P0F0</t>
  </si>
  <si>
    <t xml:space="preserve">192.168.130.36</t>
  </si>
  <si>
    <t xml:space="preserve">Xingu Capul</t>
  </si>
  <si>
    <t xml:space="preserve">BRBFD1BC01</t>
  </si>
  <si>
    <t xml:space="preserve">Cercado</t>
  </si>
  <si>
    <t xml:space="preserve">Cercado AGV</t>
  </si>
  <si>
    <t xml:space="preserve">BRCSH9Y04C</t>
  </si>
  <si>
    <t xml:space="preserve">192.168.151.31</t>
  </si>
  <si>
    <t xml:space="preserve">134</t>
  </si>
  <si>
    <t xml:space="preserve">Supermercado</t>
  </si>
  <si>
    <t xml:space="preserve">Escritorio Supermercado</t>
  </si>
  <si>
    <t xml:space="preserve">Epson L14150</t>
  </si>
  <si>
    <t xml:space="preserve">X6QM047951</t>
  </si>
  <si>
    <t xml:space="preserve">PAINEL RESUMO</t>
  </si>
  <si>
    <t xml:space="preserve">Total de impressoras cadastradas</t>
  </si>
  <si>
    <t xml:space="preserve">Qtde. de impressoras</t>
  </si>
  <si>
    <t xml:space="preserve">Sem IP</t>
  </si>
  <si>
    <t xml:space="preserve">A verificar</t>
  </si>
  <si>
    <t xml:space="preserve">Fábrica / Laticínios</t>
  </si>
  <si>
    <t xml:space="preserve">Quantidade</t>
  </si>
  <si>
    <t xml:space="preserve">OK</t>
  </si>
  <si>
    <t xml:space="preserve">Sem IP cadastrado</t>
  </si>
  <si>
    <t xml:space="preserve">Verificar nº de série</t>
  </si>
  <si>
    <t xml:space="preserve">Verificar PIN</t>
  </si>
  <si>
    <t xml:space="preserve">PIN não informado</t>
  </si>
  <si>
    <t xml:space="preserve">Impressora local (USB)</t>
  </si>
  <si>
    <t xml:space="preserve">COMO AUTOMATIZAR E TRANSFORMAR ISSO EM UM SITE</t>
  </si>
  <si>
    <t xml:space="preserve">1. Padronize a coleta</t>
  </si>
  <si>
    <t xml:space="preserve">Sempre preencha Filial, Setor, Modelo, Nº de Série, IP e PIN. Sem esses 6 campos, nenhuma automação funciona bem.</t>
  </si>
  <si>
    <t xml:space="preserve">2. Valide o IP automaticamente</t>
  </si>
  <si>
    <t xml:space="preserve">A coluna "Status" já usa fórmulas para sinalizar IP ausente, PIN pendente ou série a verificar. Não apague as fórmulas.</t>
  </si>
  <si>
    <t xml:space="preserve">3. Monitoramento automático de impressoras</t>
  </si>
  <si>
    <t xml:space="preserve">Ferramentas como PRTG, Zabbix, LibreNMS ou PaperCut leem esta lista de IPs via SNMP e avisam quando uma impressora está offline, sem toner ou com erro de papel — sem precisar abrir a planilha.</t>
  </si>
  <si>
    <t xml:space="preserve">4. Planilha -&gt; Banco de dados</t>
  </si>
  <si>
    <t xml:space="preserve">Suba estes dados para Google Sheets (com Apps Script) ou para uma base como Airtable/Baserow. Isso permite consultar e editar de qualquer lugar, com histórico de alterações.</t>
  </si>
  <si>
    <t xml:space="preserve">5. Virar um site simples</t>
  </si>
  <si>
    <t xml:space="preserve">Com o Google Sheets publicado, ferramentas como Glide, Softr ou AppSheet criam um site/app de consulta em minutos, sem programar — cada filial vê só as suas impressoras.</t>
  </si>
  <si>
    <t xml:space="preserve">6. Site sob medida</t>
  </si>
  <si>
    <t xml:space="preserve">Se quiser algo mais robusto (login por filial, alertas automáticos, histórico de trocas de toner), dá para construir um pequeno sistema web (ex.: com banco de dados + painel) — posso te ajudar a montar isso também.</t>
  </si>
  <si>
    <t xml:space="preserve">7. QR Code por impressora</t>
  </si>
  <si>
    <t xml:space="preserve">Gere um QR Code para cada impressora (com IP, modelo e PIN) e cole na própria máquina — o técnico escaneia e já vê os dados, sem precisar abrir a planilha.</t>
  </si>
  <si>
    <t xml:space="preserve">Cópia integral dos dados originais, sem edições — apenas para consulta e conferência.</t>
  </si>
  <si>
    <t xml:space="preserve">Setor</t>
  </si>
  <si>
    <t xml:space="preserve">Modelo Impressora</t>
  </si>
  <si>
    <t xml:space="preserve">N° de série</t>
  </si>
  <si>
    <t xml:space="preserve">IP</t>
  </si>
  <si>
    <t xml:space="preserve">PIN</t>
  </si>
  <si>
    <t xml:space="preserve">Fabrica Escritorio Simone </t>
  </si>
  <si>
    <t xml:space="preserve">172.16.1.244</t>
  </si>
  <si>
    <t xml:space="preserve">BRBSL6M327 </t>
  </si>
  <si>
    <t xml:space="preserve">Fabrica </t>
  </si>
  <si>
    <t xml:space="preserve">Marcelino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</si>
</sst>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2"/>
      <charset val="1"/>
    </font>
    <font>
      <i val="true"/>
      <sz val="10"/>
      <color rgb="FF595959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7F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7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BE2E2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BE2E2"/>
        </patternFill>
      </fill>
    </dxf>
    <dxf>
      <fill>
        <patternFill>
          <bgColor rgb="FFFFF3CD"/>
        </patternFill>
      </fill>
    </dxf>
    <dxf>
      <fill>
        <patternFill>
          <bgColor rgb="FFF2F2F2"/>
        </patternFill>
      </fill>
    </dxf>
    <dxf>
      <fill>
        <patternFill>
          <bgColor rgb="FFDDEBF7"/>
        </patternFill>
      </fill>
    </dxf>
    <dxf>
      <fill>
        <patternFill>
          <bgColor rgb="FFE2F0D9"/>
        </patternFill>
      </fill>
    </dxf>
    <dxf>
      <fill>
        <patternFill>
          <bgColor rgb="FFFBE2E2"/>
        </patternFill>
      </fill>
    </dxf>
    <dxf>
      <fill>
        <patternFill>
          <bgColor rgb="FFFFF3CD"/>
        </patternFill>
      </fill>
    </dxf>
    <dxf>
      <fill>
        <patternFill>
          <bgColor rgb="FFF2F2F2"/>
        </patternFill>
      </fill>
    </dxf>
    <dxf>
      <fill>
        <patternFill>
          <bgColor rgb="FFDDEBF7"/>
        </patternFill>
      </fill>
    </dxf>
    <dxf>
      <fill>
        <patternFill>
          <bgColor rgb="FFE2F0D9"/>
        </patternFill>
      </fill>
    </dxf>
    <dxf>
      <fill>
        <patternFill>
          <bgColor rgb="FFFBE2E2"/>
        </patternFill>
      </fill>
    </dxf>
    <dxf>
      <fill>
        <patternFill>
          <bgColor rgb="FFFFF3CD"/>
        </patternFill>
      </fill>
    </dxf>
    <dxf>
      <fill>
        <patternFill>
          <bgColor rgb="FFF2F2F2"/>
        </patternFill>
      </fill>
    </dxf>
    <dxf>
      <fill>
        <patternFill>
          <bgColor rgb="FFDDEBF7"/>
        </patternFill>
      </fill>
    </dxf>
    <dxf>
      <fill>
        <patternFill>
          <bgColor rgb="FFE2F0D9"/>
        </patternFill>
      </fill>
    </dxf>
    <dxf>
      <fill>
        <patternFill>
          <bgColor rgb="FFFBE2E2"/>
        </patternFill>
      </fill>
    </dxf>
    <dxf>
      <fill>
        <patternFill>
          <bgColor rgb="FFFFF3CD"/>
        </patternFill>
      </fill>
    </dxf>
    <dxf>
      <fill>
        <patternFill>
          <bgColor rgb="FFF2F2F2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E2F0D9"/>
      <rgbColor rgb="FFF2F2F2"/>
      <rgbColor rgb="FF99CCFF"/>
      <rgbColor rgb="FFFF99CC"/>
      <rgbColor rgb="FFCC99FF"/>
      <rgbColor rgb="FFFBE2E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Impressoras" displayName="TabImpressoras" ref="A4:H138" headerRowCount="1" totalsRowCount="1" totalsRowShown="1">
  <autoFilter ref="A4:H138"/>
  <tableColumns count="8">
    <tableColumn id="1" name="Nº"/>
    <tableColumn id="2" name="Filial / Unidade"/>
    <tableColumn id="3" name="Setor / Local"/>
    <tableColumn id="4" name="Modelo da Impressora"/>
    <tableColumn id="5" name="Nº de Série"/>
    <tableColumn id="6" name="Endereço IP"/>
    <tableColumn id="7" name="PIN / Observação"/>
    <tableColumn id="8" name="Status" totalsRowFunction="custo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4" topLeftCell="A47" activePane="bottomLeft" state="frozen"/>
      <selection pane="topLeft" activeCell="A1" activeCellId="0" sqref="A1"/>
      <selection pane="bottomLeft" activeCell="M63" activeCellId="0" sqref="M63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6"/>
    <col collapsed="false" customWidth="true" hidden="false" outlineLevel="0" max="6" min="5" style="1" width="16"/>
    <col collapsed="false" customWidth="true" hidden="false" outlineLevel="0" max="8" min="7" style="1" width="20"/>
    <col collapsed="false" customWidth="true" hidden="false" outlineLevel="0" max="9" min="9" style="2" width="13.91"/>
    <col collapsed="false" customWidth="true" hidden="false" outlineLevel="0" max="10" min="10" style="2" width="11.95"/>
  </cols>
  <sheetData>
    <row r="1" customFormat="false" ht="24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4.25" hidden="false" customHeight="false" outlineLevel="0" collapsed="false">
      <c r="A2" s="4" t="s">
        <v>1</v>
      </c>
      <c r="B2" s="4"/>
      <c r="C2" s="4"/>
      <c r="D2" s="4"/>
      <c r="E2" s="4"/>
      <c r="F2" s="4"/>
      <c r="G2" s="4"/>
      <c r="H2" s="4"/>
    </row>
    <row r="4" customFormat="false" ht="24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customFormat="false" ht="14.25" hidden="false" customHeight="false" outlineLevel="0" collapsed="false">
      <c r="A5" s="7" t="n">
        <v>1</v>
      </c>
      <c r="B5" s="8" t="s">
        <v>12</v>
      </c>
      <c r="C5" s="8" t="s">
        <v>13</v>
      </c>
      <c r="D5" s="8" t="s">
        <v>14</v>
      </c>
      <c r="E5" s="8" t="s">
        <v>15</v>
      </c>
      <c r="F5" s="9" t="s">
        <v>16</v>
      </c>
      <c r="G5" s="10" t="s">
        <v>17</v>
      </c>
      <c r="H5" s="7" t="str">
        <f aca="false">IF(OR(ISNUMBER(SEARCH("manual",F5)),ISNUMBER(SEARCH("usb",F5))),"Impressora local (USB)",IF(OR(E5="",ISNUMBER(SEARCH("verificar",E5))),"Verificar nº de série",IF(F5="","Sem IP cadastrado",IF(OR(ISNUMBER(SEARCH("verificar",G5)),ISNUMBER(SEARCH("pegar",G5))),"Verificar PIN",IF(G5="","PIN não informado","OK")))))</f>
        <v>Verificar PIN</v>
      </c>
    </row>
    <row r="6" customFormat="false" ht="14.25" hidden="false" customHeight="false" outlineLevel="0" collapsed="false">
      <c r="A6" s="11" t="n">
        <v>2</v>
      </c>
      <c r="B6" s="12" t="s">
        <v>12</v>
      </c>
      <c r="C6" s="12" t="s">
        <v>18</v>
      </c>
      <c r="D6" s="12" t="s">
        <v>19</v>
      </c>
      <c r="E6" s="12"/>
      <c r="F6" s="13"/>
      <c r="G6" s="14"/>
      <c r="H6" s="11" t="str">
        <f aca="false">IF(OR(ISNUMBER(SEARCH("manual",F6)),ISNUMBER(SEARCH("usb",F6))),"Impressora local (USB)",IF(OR(E6="",ISNUMBER(SEARCH("verificar",E6))),"Verificar nº de série",IF(F6="","Sem IP cadastrado",IF(OR(ISNUMBER(SEARCH("verificar",G6)),ISNUMBER(SEARCH("pegar",G6))),"Verificar PIN",IF(G6="","PIN não informado","OK")))))</f>
        <v>Verificar nº de série</v>
      </c>
    </row>
    <row r="7" customFormat="false" ht="14.25" hidden="false" customHeight="false" outlineLevel="0" collapsed="false">
      <c r="A7" s="7" t="n">
        <v>3</v>
      </c>
      <c r="B7" s="8" t="s">
        <v>12</v>
      </c>
      <c r="C7" s="8" t="s">
        <v>20</v>
      </c>
      <c r="D7" s="8" t="s">
        <v>21</v>
      </c>
      <c r="E7" s="8" t="s">
        <v>22</v>
      </c>
      <c r="F7" s="9" t="s">
        <v>23</v>
      </c>
      <c r="G7" s="10" t="n">
        <v>93845138</v>
      </c>
      <c r="H7" s="7" t="str">
        <f aca="false">IF(OR(ISNUMBER(SEARCH("manual",F7)),ISNUMBER(SEARCH("usb",F7))),"Impressora local (USB)",IF(OR(E7="",ISNUMBER(SEARCH("verificar",E7))),"Verificar nº de série",IF(F7="","Sem IP cadastrado",IF(OR(ISNUMBER(SEARCH("verificar",G7)),ISNUMBER(SEARCH("pegar",G7))),"Verificar PIN",IF(G7="","PIN não informado","OK")))))</f>
        <v>OK</v>
      </c>
    </row>
    <row r="8" customFormat="false" ht="14.25" hidden="false" customHeight="false" outlineLevel="0" collapsed="false">
      <c r="A8" s="11" t="n">
        <v>4</v>
      </c>
      <c r="B8" s="12" t="s">
        <v>12</v>
      </c>
      <c r="C8" s="12" t="s">
        <v>24</v>
      </c>
      <c r="D8" s="12" t="s">
        <v>25</v>
      </c>
      <c r="E8" s="12"/>
      <c r="F8" s="13" t="s">
        <v>16</v>
      </c>
      <c r="G8" s="14" t="s">
        <v>26</v>
      </c>
      <c r="H8" s="11" t="str">
        <f aca="false">IF(OR(ISNUMBER(SEARCH("manual",F8)),ISNUMBER(SEARCH("usb",F8))),"Impressora local (USB)",IF(OR(E8="",ISNUMBER(SEARCH("verificar",E8))),"Verificar nº de série",IF(F8="","Sem IP cadastrado",IF(OR(ISNUMBER(SEARCH("verificar",G8)),ISNUMBER(SEARCH("pegar",G8))),"Verificar PIN",IF(G8="","PIN não informado","OK")))))</f>
        <v>Verificar nº de série</v>
      </c>
    </row>
    <row r="9" customFormat="false" ht="14.25" hidden="false" customHeight="false" outlineLevel="0" collapsed="false">
      <c r="A9" s="7" t="n">
        <v>5</v>
      </c>
      <c r="B9" s="8" t="s">
        <v>12</v>
      </c>
      <c r="C9" s="8" t="s">
        <v>27</v>
      </c>
      <c r="D9" s="8" t="s">
        <v>28</v>
      </c>
      <c r="E9" s="8" t="s">
        <v>29</v>
      </c>
      <c r="F9" s="9" t="s">
        <v>30</v>
      </c>
      <c r="G9" s="10" t="n">
        <v>65562957</v>
      </c>
      <c r="H9" s="7" t="str">
        <f aca="false">IF(OR(ISNUMBER(SEARCH("manual",F9)),ISNUMBER(SEARCH("usb",F9))),"Impressora local (USB)",IF(OR(E9="",ISNUMBER(SEARCH("verificar",E9))),"Verificar nº de série",IF(F9="","Sem IP cadastrado",IF(OR(ISNUMBER(SEARCH("verificar",G9)),ISNUMBER(SEARCH("pegar",G9))),"Verificar PIN",IF(G9="","PIN não informado","OK")))))</f>
        <v>OK</v>
      </c>
    </row>
    <row r="10" customFormat="false" ht="14.25" hidden="false" customHeight="false" outlineLevel="0" collapsed="false">
      <c r="A10" s="11" t="n">
        <v>6</v>
      </c>
      <c r="B10" s="12" t="s">
        <v>12</v>
      </c>
      <c r="C10" s="12" t="s">
        <v>31</v>
      </c>
      <c r="D10" s="12" t="s">
        <v>28</v>
      </c>
      <c r="E10" s="12" t="s">
        <v>32</v>
      </c>
      <c r="F10" s="13" t="s">
        <v>33</v>
      </c>
      <c r="G10" s="14" t="n">
        <v>65640910</v>
      </c>
      <c r="H10" s="11" t="str">
        <f aca="false">IF(OR(ISNUMBER(SEARCH("manual",F10)),ISNUMBER(SEARCH("usb",F10))),"Impressora local (USB)",IF(OR(E10="",ISNUMBER(SEARCH("verificar",E10))),"Verificar nº de série",IF(F10="","Sem IP cadastrado",IF(OR(ISNUMBER(SEARCH("verificar",G10)),ISNUMBER(SEARCH("pegar",G10))),"Verificar PIN",IF(G10="","PIN não informado","OK")))))</f>
        <v>OK</v>
      </c>
    </row>
    <row r="11" customFormat="false" ht="14.25" hidden="false" customHeight="false" outlineLevel="0" collapsed="false">
      <c r="A11" s="7" t="n">
        <v>7</v>
      </c>
      <c r="B11" s="8" t="s">
        <v>12</v>
      </c>
      <c r="C11" s="8" t="s">
        <v>34</v>
      </c>
      <c r="D11" s="8" t="s">
        <v>21</v>
      </c>
      <c r="E11" s="8" t="s">
        <v>35</v>
      </c>
      <c r="F11" s="9" t="s">
        <v>36</v>
      </c>
      <c r="G11" s="10" t="s">
        <v>37</v>
      </c>
      <c r="H11" s="7" t="str">
        <f aca="false">IF(OR(ISNUMBER(SEARCH("manual",F11)),ISNUMBER(SEARCH("usb",F11))),"Impressora local (USB)",IF(OR(E11="",ISNUMBER(SEARCH("verificar",E11))),"Verificar nº de série",IF(F11="","Sem IP cadastrado",IF(OR(ISNUMBER(SEARCH("verificar",G11)),ISNUMBER(SEARCH("pegar",G11))),"Verificar PIN",IF(G11="","PIN não informado","OK")))))</f>
        <v>Verificar PIN</v>
      </c>
    </row>
    <row r="12" customFormat="false" ht="14.25" hidden="false" customHeight="false" outlineLevel="0" collapsed="false">
      <c r="A12" s="11" t="n">
        <v>8</v>
      </c>
      <c r="B12" s="12" t="s">
        <v>12</v>
      </c>
      <c r="C12" s="12" t="s">
        <v>38</v>
      </c>
      <c r="D12" s="12" t="s">
        <v>39</v>
      </c>
      <c r="E12" s="12" t="s">
        <v>40</v>
      </c>
      <c r="F12" s="13"/>
      <c r="G12" s="14" t="s">
        <v>41</v>
      </c>
      <c r="H12" s="11" t="str">
        <f aca="false">IF(OR(ISNUMBER(SEARCH("manual",F12)),ISNUMBER(SEARCH("usb",F12))),"Impressora local (USB)",IF(OR(E12="",ISNUMBER(SEARCH("verificar",E12))),"Verificar nº de série",IF(F12="","Sem IP cadastrado",IF(OR(ISNUMBER(SEARCH("verificar",G12)),ISNUMBER(SEARCH("pegar",G12))),"Verificar PIN",IF(G12="","PIN não informado","OK")))))</f>
        <v>Sem IP cadastrado</v>
      </c>
    </row>
    <row r="13" customFormat="false" ht="14.25" hidden="false" customHeight="false" outlineLevel="0" collapsed="false">
      <c r="A13" s="7" t="n">
        <v>9</v>
      </c>
      <c r="B13" s="8" t="s">
        <v>12</v>
      </c>
      <c r="C13" s="8" t="s">
        <v>42</v>
      </c>
      <c r="D13" s="8" t="s">
        <v>28</v>
      </c>
      <c r="E13" s="8" t="s">
        <v>43</v>
      </c>
      <c r="F13" s="9" t="s">
        <v>44</v>
      </c>
      <c r="G13" s="10" t="n">
        <v>21660333</v>
      </c>
      <c r="H13" s="7" t="str">
        <f aca="false">IF(OR(ISNUMBER(SEARCH("manual",F13)),ISNUMBER(SEARCH("usb",F13))),"Impressora local (USB)",IF(OR(E13="",ISNUMBER(SEARCH("verificar",E13))),"Verificar nº de série",IF(F13="","Sem IP cadastrado",IF(OR(ISNUMBER(SEARCH("verificar",G13)),ISNUMBER(SEARCH("pegar",G13))),"Verificar PIN",IF(G13="","PIN não informado","OK")))))</f>
        <v>OK</v>
      </c>
    </row>
    <row r="14" customFormat="false" ht="14.25" hidden="false" customHeight="false" outlineLevel="0" collapsed="false">
      <c r="A14" s="11" t="n">
        <v>10</v>
      </c>
      <c r="B14" s="12" t="s">
        <v>12</v>
      </c>
      <c r="C14" s="12" t="s">
        <v>45</v>
      </c>
      <c r="D14" s="12" t="s">
        <v>21</v>
      </c>
      <c r="E14" s="12" t="s">
        <v>46</v>
      </c>
      <c r="F14" s="13" t="s">
        <v>47</v>
      </c>
      <c r="G14" s="14" t="s">
        <v>48</v>
      </c>
      <c r="H14" s="11" t="str">
        <f aca="false">IF(OR(ISNUMBER(SEARCH("manual",F14)),ISNUMBER(SEARCH("usb",F14))),"Impressora local (USB)",IF(OR(E14="",ISNUMBER(SEARCH("verificar",E14))),"Verificar nº de série",IF(F14="","Sem IP cadastrado",IF(OR(ISNUMBER(SEARCH("verificar",G14)),ISNUMBER(SEARCH("pegar",G14))),"Verificar PIN",IF(G14="","PIN não informado","OK")))))</f>
        <v>OK</v>
      </c>
      <c r="I14" s="2" t="s">
        <v>49</v>
      </c>
      <c r="J14" s="2" t="s">
        <v>50</v>
      </c>
    </row>
    <row r="15" customFormat="false" ht="14.25" hidden="false" customHeight="false" outlineLevel="0" collapsed="false">
      <c r="A15" s="7" t="n">
        <v>11</v>
      </c>
      <c r="B15" s="8" t="s">
        <v>51</v>
      </c>
      <c r="C15" s="8" t="s">
        <v>52</v>
      </c>
      <c r="D15" s="8" t="s">
        <v>21</v>
      </c>
      <c r="E15" s="8" t="s">
        <v>53</v>
      </c>
      <c r="F15" s="9" t="s">
        <v>54</v>
      </c>
      <c r="G15" s="10" t="n">
        <v>65485134</v>
      </c>
      <c r="H15" s="7" t="str">
        <f aca="false">IF(OR(ISNUMBER(SEARCH("manual",F15)),ISNUMBER(SEARCH("usb",F15))),"Impressora local (USB)",IF(OR(E15="",ISNUMBER(SEARCH("verificar",E15))),"Verificar nº de série",IF(F15="","Sem IP cadastrado",IF(OR(ISNUMBER(SEARCH("verificar",G15)),ISNUMBER(SEARCH("pegar",G15))),"Verificar PIN",IF(G15="","PIN não informado","OK")))))</f>
        <v>OK</v>
      </c>
      <c r="I15" s="1"/>
      <c r="J15" s="1"/>
    </row>
    <row r="16" customFormat="false" ht="14.25" hidden="false" customHeight="false" outlineLevel="0" collapsed="false">
      <c r="A16" s="11" t="n">
        <v>12</v>
      </c>
      <c r="B16" s="12" t="s">
        <v>51</v>
      </c>
      <c r="C16" s="12" t="s">
        <v>55</v>
      </c>
      <c r="D16" s="12" t="s">
        <v>56</v>
      </c>
      <c r="E16" s="12" t="s">
        <v>57</v>
      </c>
      <c r="F16" s="13" t="s">
        <v>58</v>
      </c>
      <c r="G16" s="14" t="s">
        <v>59</v>
      </c>
      <c r="H16" s="11" t="str">
        <f aca="false">IF(OR(ISNUMBER(SEARCH("manual",F16)),ISNUMBER(SEARCH("usb",F16))),"Impressora local (USB)",IF(OR(E16="",ISNUMBER(SEARCH("verificar",E16))),"Verificar nº de série",IF(F16="","Sem IP cadastrado",IF(OR(ISNUMBER(SEARCH("verificar",G16)),ISNUMBER(SEARCH("pegar",G16))),"Verificar PIN",IF(G16="","PIN não informado","OK")))))</f>
        <v>Verificar PIN</v>
      </c>
      <c r="I16" s="1"/>
      <c r="J16" s="1"/>
    </row>
    <row r="17" customFormat="false" ht="14.25" hidden="false" customHeight="false" outlineLevel="0" collapsed="false">
      <c r="A17" s="7" t="n">
        <v>13</v>
      </c>
      <c r="B17" s="8" t="s">
        <v>51</v>
      </c>
      <c r="C17" s="8" t="s">
        <v>60</v>
      </c>
      <c r="D17" s="8" t="s">
        <v>39</v>
      </c>
      <c r="E17" s="8"/>
      <c r="F17" s="9" t="s">
        <v>61</v>
      </c>
      <c r="G17" s="10" t="s">
        <v>59</v>
      </c>
      <c r="H17" s="7" t="str">
        <f aca="false">IF(OR(ISNUMBER(SEARCH("manual",F17)),ISNUMBER(SEARCH("usb",F17))),"Impressora local (USB)",IF(OR(E17="",ISNUMBER(SEARCH("verificar",E17))),"Verificar nº de série",IF(F17="","Sem IP cadastrado",IF(OR(ISNUMBER(SEARCH("verificar",G17)),ISNUMBER(SEARCH("pegar",G17))),"Verificar PIN",IF(G17="","PIN não informado","OK")))))</f>
        <v>Verificar nº de série</v>
      </c>
      <c r="I17" s="1"/>
      <c r="J17" s="1"/>
    </row>
    <row r="18" customFormat="false" ht="14.25" hidden="false" customHeight="false" outlineLevel="0" collapsed="false">
      <c r="A18" s="11" t="n">
        <v>14</v>
      </c>
      <c r="B18" s="12" t="s">
        <v>51</v>
      </c>
      <c r="C18" s="12" t="s">
        <v>62</v>
      </c>
      <c r="D18" s="12" t="s">
        <v>25</v>
      </c>
      <c r="E18" s="12" t="s">
        <v>63</v>
      </c>
      <c r="F18" s="13" t="s">
        <v>64</v>
      </c>
      <c r="G18" s="14" t="s">
        <v>59</v>
      </c>
      <c r="H18" s="11" t="str">
        <f aca="false">IF(OR(ISNUMBER(SEARCH("manual",F18)),ISNUMBER(SEARCH("usb",F18))),"Impressora local (USB)",IF(OR(E18="",ISNUMBER(SEARCH("verificar",E18))),"Verificar nº de série",IF(F18="","Sem IP cadastrado",IF(OR(ISNUMBER(SEARCH("verificar",G18)),ISNUMBER(SEARCH("pegar",G18))),"Verificar PIN",IF(G18="","PIN não informado","OK")))))</f>
        <v>Verificar PIN</v>
      </c>
      <c r="I18" s="1"/>
      <c r="J18" s="1"/>
    </row>
    <row r="19" customFormat="false" ht="14.25" hidden="false" customHeight="false" outlineLevel="0" collapsed="false">
      <c r="A19" s="7" t="n">
        <v>15</v>
      </c>
      <c r="B19" s="8" t="s">
        <v>65</v>
      </c>
      <c r="C19" s="8" t="s">
        <v>66</v>
      </c>
      <c r="D19" s="8" t="s">
        <v>67</v>
      </c>
      <c r="E19" s="8" t="s">
        <v>68</v>
      </c>
      <c r="F19" s="9" t="s">
        <v>69</v>
      </c>
      <c r="G19" s="10" t="s">
        <v>59</v>
      </c>
      <c r="H19" s="7" t="str">
        <f aca="false">IF(OR(ISNUMBER(SEARCH("manual",F19)),ISNUMBER(SEARCH("usb",F19))),"Impressora local (USB)",IF(OR(E19="",ISNUMBER(SEARCH("verificar",E19))),"Verificar nº de série",IF(F19="","Sem IP cadastrado",IF(OR(ISNUMBER(SEARCH("verificar",G19)),ISNUMBER(SEARCH("pegar",G19))),"Verificar PIN",IF(G19="","PIN não informado","OK")))))</f>
        <v>Verificar PIN</v>
      </c>
      <c r="I19" s="1"/>
      <c r="J19" s="1"/>
    </row>
    <row r="20" customFormat="false" ht="14.25" hidden="false" customHeight="false" outlineLevel="0" collapsed="false">
      <c r="A20" s="11" t="n">
        <v>16</v>
      </c>
      <c r="B20" s="12" t="s">
        <v>65</v>
      </c>
      <c r="C20" s="12" t="s">
        <v>70</v>
      </c>
      <c r="D20" s="12" t="s">
        <v>28</v>
      </c>
      <c r="E20" s="12" t="s">
        <v>71</v>
      </c>
      <c r="F20" s="13" t="s">
        <v>72</v>
      </c>
      <c r="G20" s="14" t="n">
        <v>65229271</v>
      </c>
      <c r="H20" s="11" t="str">
        <f aca="false">IF(OR(ISNUMBER(SEARCH("manual",F20)),ISNUMBER(SEARCH("usb",F20))),"Impressora local (USB)",IF(OR(E20="",ISNUMBER(SEARCH("verificar",E20))),"Verificar nº de série",IF(F20="","Sem IP cadastrado",IF(OR(ISNUMBER(SEARCH("verificar",G20)),ISNUMBER(SEARCH("pegar",G20))),"Verificar PIN",IF(G20="","PIN não informado","OK")))))</f>
        <v>OK</v>
      </c>
      <c r="I20" s="1"/>
      <c r="J20" s="1"/>
    </row>
    <row r="21" customFormat="false" ht="14.25" hidden="false" customHeight="false" outlineLevel="0" collapsed="false">
      <c r="A21" s="7" t="n">
        <v>17</v>
      </c>
      <c r="B21" s="8" t="s">
        <v>65</v>
      </c>
      <c r="C21" s="8" t="s">
        <v>73</v>
      </c>
      <c r="D21" s="8" t="s">
        <v>28</v>
      </c>
      <c r="E21" s="8" t="s">
        <v>74</v>
      </c>
      <c r="F21" s="9" t="s">
        <v>75</v>
      </c>
      <c r="G21" s="10" t="n">
        <v>27660562</v>
      </c>
      <c r="H21" s="7" t="str">
        <f aca="false">IF(OR(ISNUMBER(SEARCH("manual",F21)),ISNUMBER(SEARCH("usb",F21))),"Impressora local (USB)",IF(OR(E21="",ISNUMBER(SEARCH("verificar",E21))),"Verificar nº de série",IF(F21="","Sem IP cadastrado",IF(OR(ISNUMBER(SEARCH("verificar",G21)),ISNUMBER(SEARCH("pegar",G21))),"Verificar PIN",IF(G21="","PIN não informado","OK")))))</f>
        <v>OK</v>
      </c>
      <c r="I21" s="1"/>
      <c r="J21" s="1"/>
    </row>
    <row r="22" customFormat="false" ht="14.25" hidden="false" customHeight="false" outlineLevel="0" collapsed="false">
      <c r="A22" s="11" t="n">
        <v>18</v>
      </c>
      <c r="B22" s="12" t="s">
        <v>65</v>
      </c>
      <c r="C22" s="12" t="s">
        <v>76</v>
      </c>
      <c r="D22" s="12" t="s">
        <v>77</v>
      </c>
      <c r="E22" s="12"/>
      <c r="F22" s="13" t="s">
        <v>78</v>
      </c>
      <c r="G22" s="14"/>
      <c r="H22" s="11" t="str">
        <f aca="false">IF(OR(ISNUMBER(SEARCH("manual",F22)),ISNUMBER(SEARCH("usb",F22))),"Impressora local (USB)",IF(OR(E22="",ISNUMBER(SEARCH("verificar",E22))),"Verificar nº de série",IF(F22="","Sem IP cadastrado",IF(OR(ISNUMBER(SEARCH("verificar",G22)),ISNUMBER(SEARCH("pegar",G22))),"Verificar PIN",IF(G22="","PIN não informado","OK")))))</f>
        <v>Verificar nº de série</v>
      </c>
      <c r="I22" s="1"/>
      <c r="J22" s="1"/>
    </row>
    <row r="23" customFormat="false" ht="14.25" hidden="false" customHeight="false" outlineLevel="0" collapsed="false">
      <c r="A23" s="7" t="n">
        <v>19</v>
      </c>
      <c r="B23" s="8" t="s">
        <v>79</v>
      </c>
      <c r="C23" s="8" t="s">
        <v>80</v>
      </c>
      <c r="D23" s="8" t="s">
        <v>21</v>
      </c>
      <c r="E23" s="8" t="s">
        <v>81</v>
      </c>
      <c r="F23" s="9" t="s">
        <v>82</v>
      </c>
      <c r="G23" s="10" t="n">
        <v>3615771</v>
      </c>
      <c r="H23" s="7" t="str">
        <f aca="false">IF(OR(ISNUMBER(SEARCH("manual",F23)),ISNUMBER(SEARCH("usb",F23))),"Impressora local (USB)",IF(OR(E23="",ISNUMBER(SEARCH("verificar",E23))),"Verificar nº de série",IF(F23="","Sem IP cadastrado",IF(OR(ISNUMBER(SEARCH("verificar",G23)),ISNUMBER(SEARCH("pegar",G23))),"Verificar PIN",IF(G23="","PIN não informado","OK")))))</f>
        <v>OK</v>
      </c>
      <c r="I23" s="1"/>
      <c r="J23" s="1"/>
    </row>
    <row r="24" customFormat="false" ht="14.25" hidden="false" customHeight="false" outlineLevel="0" collapsed="false">
      <c r="A24" s="11" t="n">
        <v>20</v>
      </c>
      <c r="B24" s="12" t="s">
        <v>79</v>
      </c>
      <c r="C24" s="12" t="s">
        <v>83</v>
      </c>
      <c r="D24" s="12" t="s">
        <v>84</v>
      </c>
      <c r="E24" s="12" t="s">
        <v>85</v>
      </c>
      <c r="F24" s="13" t="s">
        <v>86</v>
      </c>
      <c r="G24" s="14"/>
      <c r="H24" s="11" t="str">
        <f aca="false">IF(OR(ISNUMBER(SEARCH("manual",F24)),ISNUMBER(SEARCH("usb",F24))),"Impressora local (USB)",IF(OR(E24="",ISNUMBER(SEARCH("verificar",E24))),"Verificar nº de série",IF(F24="","Sem IP cadastrado",IF(OR(ISNUMBER(SEARCH("verificar",G24)),ISNUMBER(SEARCH("pegar",G24))),"Verificar PIN",IF(G24="","PIN não informado","OK")))))</f>
        <v>PIN não informado</v>
      </c>
      <c r="I24" s="1"/>
      <c r="J24" s="1"/>
    </row>
    <row r="25" customFormat="false" ht="14.25" hidden="false" customHeight="false" outlineLevel="0" collapsed="false">
      <c r="A25" s="7" t="n">
        <v>21</v>
      </c>
      <c r="B25" s="8" t="s">
        <v>79</v>
      </c>
      <c r="C25" s="8" t="s">
        <v>87</v>
      </c>
      <c r="D25" s="8" t="s">
        <v>28</v>
      </c>
      <c r="E25" s="8" t="s">
        <v>88</v>
      </c>
      <c r="F25" s="9" t="s">
        <v>89</v>
      </c>
      <c r="G25" s="10" t="n">
        <v>65188125</v>
      </c>
      <c r="H25" s="7" t="str">
        <f aca="false">IF(OR(ISNUMBER(SEARCH("manual",F25)),ISNUMBER(SEARCH("usb",F25))),"Impressora local (USB)",IF(OR(E25="",ISNUMBER(SEARCH("verificar",E25))),"Verificar nº de série",IF(F25="","Sem IP cadastrado",IF(OR(ISNUMBER(SEARCH("verificar",G25)),ISNUMBER(SEARCH("pegar",G25))),"Verificar PIN",IF(G25="","PIN não informado","OK")))))</f>
        <v>OK</v>
      </c>
      <c r="I25" s="1"/>
      <c r="J25" s="1"/>
    </row>
    <row r="26" customFormat="false" ht="14.25" hidden="false" customHeight="false" outlineLevel="0" collapsed="false">
      <c r="A26" s="11" t="n">
        <v>22</v>
      </c>
      <c r="B26" s="12" t="s">
        <v>79</v>
      </c>
      <c r="C26" s="12" t="s">
        <v>90</v>
      </c>
      <c r="D26" s="12" t="s">
        <v>28</v>
      </c>
      <c r="E26" s="12" t="s">
        <v>91</v>
      </c>
      <c r="F26" s="13" t="s">
        <v>92</v>
      </c>
      <c r="G26" s="14" t="n">
        <v>65585930</v>
      </c>
      <c r="H26" s="11" t="str">
        <f aca="false">IF(OR(ISNUMBER(SEARCH("manual",F26)),ISNUMBER(SEARCH("usb",F26))),"Impressora local (USB)",IF(OR(E26="",ISNUMBER(SEARCH("verificar",E26))),"Verificar nº de série",IF(F26="","Sem IP cadastrado",IF(OR(ISNUMBER(SEARCH("verificar",G26)),ISNUMBER(SEARCH("pegar",G26))),"Verificar PIN",IF(G26="","PIN não informado","OK")))))</f>
        <v>OK</v>
      </c>
      <c r="I26" s="1"/>
      <c r="J26" s="1"/>
    </row>
    <row r="27" customFormat="false" ht="14.25" hidden="false" customHeight="false" outlineLevel="0" collapsed="false">
      <c r="A27" s="7" t="n">
        <v>23</v>
      </c>
      <c r="B27" s="8" t="s">
        <v>93</v>
      </c>
      <c r="C27" s="8" t="s">
        <v>94</v>
      </c>
      <c r="D27" s="8" t="s">
        <v>39</v>
      </c>
      <c r="E27" s="8"/>
      <c r="F27" s="9" t="s">
        <v>95</v>
      </c>
      <c r="G27" s="10" t="s">
        <v>96</v>
      </c>
      <c r="H27" s="7" t="str">
        <f aca="false">IF(OR(ISNUMBER(SEARCH("manual",F27)),ISNUMBER(SEARCH("usb",F27))),"Impressora local (USB)",IF(OR(E27="",ISNUMBER(SEARCH("verificar",E27))),"Verificar nº de série",IF(F27="","Sem IP cadastrado",IF(OR(ISNUMBER(SEARCH("verificar",G27)),ISNUMBER(SEARCH("pegar",G27))),"Verificar PIN",IF(G27="","PIN não informado","OK")))))</f>
        <v>Verificar nº de série</v>
      </c>
      <c r="I27" s="1"/>
      <c r="J27" s="1"/>
    </row>
    <row r="28" customFormat="false" ht="14.25" hidden="false" customHeight="false" outlineLevel="0" collapsed="false">
      <c r="A28" s="11" t="n">
        <v>24</v>
      </c>
      <c r="B28" s="12" t="s">
        <v>93</v>
      </c>
      <c r="C28" s="12" t="s">
        <v>97</v>
      </c>
      <c r="D28" s="12" t="s">
        <v>98</v>
      </c>
      <c r="E28" s="12" t="s">
        <v>99</v>
      </c>
      <c r="F28" s="13" t="s">
        <v>100</v>
      </c>
      <c r="G28" s="14" t="n">
        <v>92216916</v>
      </c>
      <c r="H28" s="11" t="str">
        <f aca="false">IF(OR(ISNUMBER(SEARCH("manual",F28)),ISNUMBER(SEARCH("usb",F28))),"Impressora local (USB)",IF(OR(E28="",ISNUMBER(SEARCH("verificar",E28))),"Verificar nº de série",IF(F28="","Sem IP cadastrado",IF(OR(ISNUMBER(SEARCH("verificar",G28)),ISNUMBER(SEARCH("pegar",G28))),"Verificar PIN",IF(G28="","PIN não informado","OK")))))</f>
        <v>OK</v>
      </c>
      <c r="I28" s="1"/>
      <c r="J28" s="1"/>
    </row>
    <row r="29" customFormat="false" ht="14.25" hidden="false" customHeight="false" outlineLevel="0" collapsed="false">
      <c r="A29" s="7" t="n">
        <v>25</v>
      </c>
      <c r="B29" s="8" t="s">
        <v>93</v>
      </c>
      <c r="C29" s="8" t="s">
        <v>101</v>
      </c>
      <c r="D29" s="8" t="s">
        <v>102</v>
      </c>
      <c r="E29" s="8" t="s">
        <v>103</v>
      </c>
      <c r="F29" s="9" t="s">
        <v>104</v>
      </c>
      <c r="G29" s="10" t="n">
        <v>21652072</v>
      </c>
      <c r="H29" s="7" t="str">
        <f aca="false">IF(OR(ISNUMBER(SEARCH("manual",F29)),ISNUMBER(SEARCH("usb",F29))),"Impressora local (USB)",IF(OR(E29="",ISNUMBER(SEARCH("verificar",E29))),"Verificar nº de série",IF(F29="","Sem IP cadastrado",IF(OR(ISNUMBER(SEARCH("verificar",G29)),ISNUMBER(SEARCH("pegar",G29))),"Verificar PIN",IF(G29="","PIN não informado","OK")))))</f>
        <v>OK</v>
      </c>
      <c r="I29" s="1"/>
      <c r="J29" s="1"/>
    </row>
    <row r="30" customFormat="false" ht="14.25" hidden="false" customHeight="false" outlineLevel="0" collapsed="false">
      <c r="A30" s="11" t="n">
        <v>26</v>
      </c>
      <c r="B30" s="12" t="s">
        <v>93</v>
      </c>
      <c r="C30" s="12" t="s">
        <v>105</v>
      </c>
      <c r="D30" s="12" t="s">
        <v>102</v>
      </c>
      <c r="E30" s="12" t="s">
        <v>106</v>
      </c>
      <c r="F30" s="13" t="s">
        <v>107</v>
      </c>
      <c r="G30" s="14" t="n">
        <v>65628895</v>
      </c>
      <c r="H30" s="11" t="str">
        <f aca="false">IF(OR(ISNUMBER(SEARCH("manual",F30)),ISNUMBER(SEARCH("usb",F30))),"Impressora local (USB)",IF(OR(E30="",ISNUMBER(SEARCH("verificar",E30))),"Verificar nº de série",IF(F30="","Sem IP cadastrado",IF(OR(ISNUMBER(SEARCH("verificar",G30)),ISNUMBER(SEARCH("pegar",G30))),"Verificar PIN",IF(G30="","PIN não informado","OK")))))</f>
        <v>OK</v>
      </c>
      <c r="I30" s="1"/>
      <c r="J30" s="1"/>
    </row>
    <row r="31" customFormat="false" ht="14.25" hidden="false" customHeight="false" outlineLevel="0" collapsed="false">
      <c r="A31" s="7" t="n">
        <v>27</v>
      </c>
      <c r="B31" s="8" t="s">
        <v>93</v>
      </c>
      <c r="C31" s="8" t="s">
        <v>108</v>
      </c>
      <c r="D31" s="8" t="s">
        <v>56</v>
      </c>
      <c r="E31" s="8" t="s">
        <v>109</v>
      </c>
      <c r="F31" s="9" t="s">
        <v>110</v>
      </c>
      <c r="G31" s="10" t="s">
        <v>111</v>
      </c>
      <c r="H31" s="7" t="str">
        <f aca="false">IF(OR(ISNUMBER(SEARCH("manual",F31)),ISNUMBER(SEARCH("usb",F31))),"Impressora local (USB)",IF(OR(E31="",ISNUMBER(SEARCH("verificar",E31))),"Verificar nº de série",IF(F31="","Sem IP cadastrado",IF(OR(ISNUMBER(SEARCH("verificar",G31)),ISNUMBER(SEARCH("pegar",G31))),"Verificar PIN",IF(G31="","PIN não informado","OK")))))</f>
        <v>OK</v>
      </c>
      <c r="I31" s="1"/>
      <c r="J31" s="1"/>
    </row>
    <row r="32" customFormat="false" ht="14.25" hidden="false" customHeight="false" outlineLevel="0" collapsed="false">
      <c r="A32" s="11" t="n">
        <v>28</v>
      </c>
      <c r="B32" s="12" t="s">
        <v>112</v>
      </c>
      <c r="C32" s="12" t="s">
        <v>113</v>
      </c>
      <c r="D32" s="12" t="s">
        <v>114</v>
      </c>
      <c r="E32" s="12" t="s">
        <v>115</v>
      </c>
      <c r="F32" s="13" t="s">
        <v>116</v>
      </c>
      <c r="G32" s="14"/>
      <c r="H32" s="11" t="str">
        <f aca="false">IF(OR(ISNUMBER(SEARCH("manual",F32)),ISNUMBER(SEARCH("usb",F32))),"Impressora local (USB)",IF(OR(E32="",ISNUMBER(SEARCH("verificar",E32))),"Verificar nº de série",IF(F32="","Sem IP cadastrado",IF(OR(ISNUMBER(SEARCH("verificar",G32)),ISNUMBER(SEARCH("pegar",G32))),"Verificar PIN",IF(G32="","PIN não informado","OK")))))</f>
        <v>PIN não informado</v>
      </c>
      <c r="I32" s="1"/>
      <c r="J32" s="1"/>
    </row>
    <row r="33" customFormat="false" ht="14.25" hidden="false" customHeight="false" outlineLevel="0" collapsed="false">
      <c r="A33" s="7" t="n">
        <v>29</v>
      </c>
      <c r="B33" s="8" t="s">
        <v>112</v>
      </c>
      <c r="C33" s="8" t="s">
        <v>117</v>
      </c>
      <c r="D33" s="8" t="s">
        <v>28</v>
      </c>
      <c r="E33" s="8" t="s">
        <v>118</v>
      </c>
      <c r="F33" s="9" t="s">
        <v>119</v>
      </c>
      <c r="G33" s="10" t="n">
        <v>65573020</v>
      </c>
      <c r="H33" s="7" t="str">
        <f aca="false">IF(OR(ISNUMBER(SEARCH("manual",F33)),ISNUMBER(SEARCH("usb",F33))),"Impressora local (USB)",IF(OR(E33="",ISNUMBER(SEARCH("verificar",E33))),"Verificar nº de série",IF(F33="","Sem IP cadastrado",IF(OR(ISNUMBER(SEARCH("verificar",G33)),ISNUMBER(SEARCH("pegar",G33))),"Verificar PIN",IF(G33="","PIN não informado","OK")))))</f>
        <v>OK</v>
      </c>
      <c r="I33" s="1"/>
      <c r="J33" s="1"/>
    </row>
    <row r="34" customFormat="false" ht="14.25" hidden="false" customHeight="false" outlineLevel="0" collapsed="false">
      <c r="A34" s="11" t="n">
        <v>30</v>
      </c>
      <c r="B34" s="12" t="s">
        <v>112</v>
      </c>
      <c r="C34" s="12" t="s">
        <v>120</v>
      </c>
      <c r="D34" s="12" t="s">
        <v>28</v>
      </c>
      <c r="E34" s="12" t="s">
        <v>121</v>
      </c>
      <c r="F34" s="13" t="s">
        <v>122</v>
      </c>
      <c r="G34" s="14" t="n">
        <v>65301488</v>
      </c>
      <c r="H34" s="11" t="str">
        <f aca="false">IF(OR(ISNUMBER(SEARCH("manual",F34)),ISNUMBER(SEARCH("usb",F34))),"Impressora local (USB)",IF(OR(E34="",ISNUMBER(SEARCH("verificar",E34))),"Verificar nº de série",IF(F34="","Sem IP cadastrado",IF(OR(ISNUMBER(SEARCH("verificar",G34)),ISNUMBER(SEARCH("pegar",G34))),"Verificar PIN",IF(G34="","PIN não informado","OK")))))</f>
        <v>OK</v>
      </c>
      <c r="I34" s="1"/>
      <c r="J34" s="1"/>
    </row>
    <row r="35" customFormat="false" ht="23.85" hidden="false" customHeight="false" outlineLevel="0" collapsed="false">
      <c r="A35" s="7" t="n">
        <v>31</v>
      </c>
      <c r="B35" s="8" t="s">
        <v>112</v>
      </c>
      <c r="C35" s="8" t="s">
        <v>123</v>
      </c>
      <c r="D35" s="8" t="s">
        <v>14</v>
      </c>
      <c r="E35" s="8" t="s">
        <v>124</v>
      </c>
      <c r="F35" s="9" t="s">
        <v>125</v>
      </c>
      <c r="G35" s="10" t="s">
        <v>17</v>
      </c>
      <c r="H35" s="7" t="str">
        <f aca="false">IF(OR(ISNUMBER(SEARCH("manual",F35)),ISNUMBER(SEARCH("usb",F35))),"Impressora local (USB)",IF(OR(E35="",ISNUMBER(SEARCH("verificar",E35))),"Verificar nº de série",IF(F35="","Sem IP cadastrado",IF(OR(ISNUMBER(SEARCH("verificar",G35)),ISNUMBER(SEARCH("pegar",G35))),"Verificar PIN",IF(G35="","PIN não informado","OK")))))</f>
        <v>Verificar PIN</v>
      </c>
      <c r="I35" s="1"/>
      <c r="J35" s="1"/>
    </row>
    <row r="36" customFormat="false" ht="14.25" hidden="false" customHeight="false" outlineLevel="0" collapsed="false">
      <c r="A36" s="11" t="n">
        <v>32</v>
      </c>
      <c r="B36" s="12" t="s">
        <v>126</v>
      </c>
      <c r="C36" s="12" t="s">
        <v>127</v>
      </c>
      <c r="D36" s="12" t="s">
        <v>128</v>
      </c>
      <c r="E36" s="12" t="s">
        <v>129</v>
      </c>
      <c r="F36" s="13" t="s">
        <v>130</v>
      </c>
      <c r="G36" s="14"/>
      <c r="H36" s="11" t="str">
        <f aca="false">IF(OR(ISNUMBER(SEARCH("manual",F36)),ISNUMBER(SEARCH("usb",F36))),"Impressora local (USB)",IF(OR(E36="",ISNUMBER(SEARCH("verificar",E36))),"Verificar nº de série",IF(F36="","Sem IP cadastrado",IF(OR(ISNUMBER(SEARCH("verificar",G36)),ISNUMBER(SEARCH("pegar",G36))),"Verificar PIN",IF(G36="","PIN não informado","OK")))))</f>
        <v>PIN não informado</v>
      </c>
      <c r="I36" s="1"/>
      <c r="J36" s="1"/>
    </row>
    <row r="37" customFormat="false" ht="14.25" hidden="false" customHeight="false" outlineLevel="0" collapsed="false">
      <c r="A37" s="7" t="n">
        <v>33</v>
      </c>
      <c r="B37" s="8" t="s">
        <v>126</v>
      </c>
      <c r="C37" s="8" t="s">
        <v>131</v>
      </c>
      <c r="D37" s="8" t="s">
        <v>56</v>
      </c>
      <c r="E37" s="8" t="s">
        <v>132</v>
      </c>
      <c r="F37" s="9" t="s">
        <v>133</v>
      </c>
      <c r="G37" s="10"/>
      <c r="H37" s="7" t="str">
        <f aca="false">IF(OR(ISNUMBER(SEARCH("manual",F37)),ISNUMBER(SEARCH("usb",F37))),"Impressora local (USB)",IF(OR(E37="",ISNUMBER(SEARCH("verificar",E37))),"Verificar nº de série",IF(F37="","Sem IP cadastrado",IF(OR(ISNUMBER(SEARCH("verificar",G37)),ISNUMBER(SEARCH("pegar",G37))),"Verificar PIN",IF(G37="","PIN não informado","OK")))))</f>
        <v>PIN não informado</v>
      </c>
      <c r="I37" s="1"/>
      <c r="J37" s="1"/>
    </row>
    <row r="38" customFormat="false" ht="14.25" hidden="false" customHeight="false" outlineLevel="0" collapsed="false">
      <c r="A38" s="11" t="n">
        <v>34</v>
      </c>
      <c r="B38" s="12" t="s">
        <v>126</v>
      </c>
      <c r="C38" s="12" t="s">
        <v>134</v>
      </c>
      <c r="D38" s="12" t="s">
        <v>135</v>
      </c>
      <c r="E38" s="12" t="s">
        <v>136</v>
      </c>
      <c r="F38" s="13" t="s">
        <v>137</v>
      </c>
      <c r="G38" s="14"/>
      <c r="H38" s="11" t="str">
        <f aca="false">IF(OR(ISNUMBER(SEARCH("manual",F38)),ISNUMBER(SEARCH("usb",F38))),"Impressora local (USB)",IF(OR(E38="",ISNUMBER(SEARCH("verificar",E38))),"Verificar nº de série",IF(F38="","Sem IP cadastrado",IF(OR(ISNUMBER(SEARCH("verificar",G38)),ISNUMBER(SEARCH("pegar",G38))),"Verificar PIN",IF(G38="","PIN não informado","OK")))))</f>
        <v>PIN não informado</v>
      </c>
      <c r="I38" s="1"/>
      <c r="J38" s="1"/>
    </row>
    <row r="39" customFormat="false" ht="14.25" hidden="false" customHeight="false" outlineLevel="0" collapsed="false">
      <c r="A39" s="7" t="n">
        <v>35</v>
      </c>
      <c r="B39" s="8" t="s">
        <v>126</v>
      </c>
      <c r="C39" s="8" t="s">
        <v>138</v>
      </c>
      <c r="D39" s="8" t="s">
        <v>128</v>
      </c>
      <c r="E39" s="12" t="s">
        <v>139</v>
      </c>
      <c r="F39" s="9" t="s">
        <v>140</v>
      </c>
      <c r="G39" s="10"/>
      <c r="H39" s="7" t="str">
        <f aca="false">IF(OR(ISNUMBER(SEARCH("manual",F39)),ISNUMBER(SEARCH("usb",F39))),"Impressora local (USB)",IF(OR(E39="",ISNUMBER(SEARCH("verificar",E39))),"Verificar nº de série",IF(F39="","Sem IP cadastrado",IF(OR(ISNUMBER(SEARCH("verificar",G39)),ISNUMBER(SEARCH("pegar",G39))),"Verificar PIN",IF(G39="","PIN não informado","OK")))))</f>
        <v>PIN não informado</v>
      </c>
      <c r="I39" s="1"/>
      <c r="J39" s="1"/>
    </row>
    <row r="40" customFormat="false" ht="14.25" hidden="false" customHeight="false" outlineLevel="0" collapsed="false">
      <c r="A40" s="11" t="n">
        <v>36</v>
      </c>
      <c r="B40" s="12" t="s">
        <v>141</v>
      </c>
      <c r="C40" s="12" t="s">
        <v>142</v>
      </c>
      <c r="D40" s="12" t="s">
        <v>143</v>
      </c>
      <c r="E40" s="12" t="s">
        <v>118</v>
      </c>
      <c r="F40" s="13" t="s">
        <v>119</v>
      </c>
      <c r="G40" s="14" t="s">
        <v>144</v>
      </c>
      <c r="H40" s="11" t="str">
        <f aca="false">IF(OR(ISNUMBER(SEARCH("manual",F40)),ISNUMBER(SEARCH("usb",F40))),"Impressora local (USB)",IF(OR(E40="",ISNUMBER(SEARCH("verificar",E40))),"Verificar nº de série",IF(F40="","Sem IP cadastrado",IF(OR(ISNUMBER(SEARCH("verificar",G40)),ISNUMBER(SEARCH("pegar",G40))),"Verificar PIN",IF(G40="","PIN não informado","OK")))))</f>
        <v>Verificar PIN</v>
      </c>
      <c r="I40" s="1"/>
      <c r="J40" s="1"/>
    </row>
    <row r="41" customFormat="false" ht="14.25" hidden="false" customHeight="false" outlineLevel="0" collapsed="false">
      <c r="A41" s="7" t="n">
        <v>37</v>
      </c>
      <c r="B41" s="8" t="s">
        <v>141</v>
      </c>
      <c r="C41" s="8" t="s">
        <v>145</v>
      </c>
      <c r="D41" s="8" t="s">
        <v>25</v>
      </c>
      <c r="E41" s="8" t="s">
        <v>146</v>
      </c>
      <c r="F41" s="9" t="s">
        <v>147</v>
      </c>
      <c r="G41" s="10"/>
      <c r="H41" s="7" t="str">
        <f aca="false">IF(OR(ISNUMBER(SEARCH("manual",F41)),ISNUMBER(SEARCH("usb",F41))),"Impressora local (USB)",IF(OR(E41="",ISNUMBER(SEARCH("verificar",E41))),"Verificar nº de série",IF(F41="","Sem IP cadastrado",IF(OR(ISNUMBER(SEARCH("verificar",G41)),ISNUMBER(SEARCH("pegar",G41))),"Verificar PIN",IF(G41="","PIN não informado","OK")))))</f>
        <v>PIN não informado</v>
      </c>
      <c r="I41" s="1"/>
      <c r="J41" s="1"/>
    </row>
    <row r="42" customFormat="false" ht="14.25" hidden="false" customHeight="false" outlineLevel="0" collapsed="false">
      <c r="A42" s="11" t="n">
        <v>38</v>
      </c>
      <c r="B42" s="12" t="s">
        <v>141</v>
      </c>
      <c r="C42" s="12" t="s">
        <v>148</v>
      </c>
      <c r="D42" s="12" t="s">
        <v>149</v>
      </c>
      <c r="E42" s="12" t="s">
        <v>150</v>
      </c>
      <c r="F42" s="13" t="s">
        <v>151</v>
      </c>
      <c r="G42" s="14" t="n">
        <v>69947784</v>
      </c>
      <c r="H42" s="11" t="str">
        <f aca="false">IF(OR(ISNUMBER(SEARCH("manual",F42)),ISNUMBER(SEARCH("usb",F42))),"Impressora local (USB)",IF(OR(E42="",ISNUMBER(SEARCH("verificar",E42))),"Verificar nº de série",IF(F42="","Sem IP cadastrado",IF(OR(ISNUMBER(SEARCH("verificar",G42)),ISNUMBER(SEARCH("pegar",G42))),"Verificar PIN",IF(G42="","PIN não informado","OK")))))</f>
        <v>OK</v>
      </c>
      <c r="I42" s="1"/>
      <c r="J42" s="1"/>
    </row>
    <row r="43" customFormat="false" ht="14.25" hidden="false" customHeight="false" outlineLevel="0" collapsed="false">
      <c r="A43" s="7" t="n">
        <v>39</v>
      </c>
      <c r="B43" s="8" t="s">
        <v>141</v>
      </c>
      <c r="C43" s="8" t="s">
        <v>152</v>
      </c>
      <c r="D43" s="8" t="s">
        <v>28</v>
      </c>
      <c r="E43" s="8" t="s">
        <v>153</v>
      </c>
      <c r="F43" s="9" t="s">
        <v>154</v>
      </c>
      <c r="G43" s="10" t="n">
        <v>65564184</v>
      </c>
      <c r="H43" s="7" t="str">
        <f aca="false">IF(OR(ISNUMBER(SEARCH("manual",F43)),ISNUMBER(SEARCH("usb",F43))),"Impressora local (USB)",IF(OR(E43="",ISNUMBER(SEARCH("verificar",E43))),"Verificar nº de série",IF(F43="","Sem IP cadastrado",IF(OR(ISNUMBER(SEARCH("verificar",G43)),ISNUMBER(SEARCH("pegar",G43))),"Verificar PIN",IF(G43="","PIN não informado","OK")))))</f>
        <v>OK</v>
      </c>
      <c r="I43" s="1"/>
      <c r="J43" s="1"/>
    </row>
    <row r="44" customFormat="false" ht="14.25" hidden="false" customHeight="false" outlineLevel="0" collapsed="false">
      <c r="A44" s="11" t="n">
        <v>40</v>
      </c>
      <c r="B44" s="12" t="s">
        <v>155</v>
      </c>
      <c r="C44" s="12" t="s">
        <v>156</v>
      </c>
      <c r="D44" s="12" t="s">
        <v>157</v>
      </c>
      <c r="E44" s="12" t="s">
        <v>158</v>
      </c>
      <c r="F44" s="13" t="s">
        <v>159</v>
      </c>
      <c r="G44" s="14"/>
      <c r="H44" s="11" t="str">
        <f aca="false">IF(OR(ISNUMBER(SEARCH("manual",F44)),ISNUMBER(SEARCH("usb",F44))),"Impressora local (USB)",IF(OR(E44="",ISNUMBER(SEARCH("verificar",E44))),"Verificar nº de série",IF(F44="","Sem IP cadastrado",IF(OR(ISNUMBER(SEARCH("verificar",G44)),ISNUMBER(SEARCH("pegar",G44))),"Verificar PIN",IF(G44="","PIN não informado","OK")))))</f>
        <v>Impressora local (USB)</v>
      </c>
      <c r="I44" s="1"/>
      <c r="J44" s="1"/>
    </row>
    <row r="45" customFormat="false" ht="14.25" hidden="false" customHeight="false" outlineLevel="0" collapsed="false">
      <c r="A45" s="7" t="n">
        <v>41</v>
      </c>
      <c r="B45" s="8" t="s">
        <v>155</v>
      </c>
      <c r="C45" s="8" t="s">
        <v>160</v>
      </c>
      <c r="D45" s="8" t="s">
        <v>161</v>
      </c>
      <c r="E45" s="8" t="s">
        <v>162</v>
      </c>
      <c r="F45" s="9" t="s">
        <v>163</v>
      </c>
      <c r="G45" s="10"/>
      <c r="H45" s="7" t="str">
        <f aca="false">IF(OR(ISNUMBER(SEARCH("manual",F45)),ISNUMBER(SEARCH("usb",F45))),"Impressora local (USB)",IF(OR(E45="",ISNUMBER(SEARCH("verificar",E45))),"Verificar nº de série",IF(F45="","Sem IP cadastrado",IF(OR(ISNUMBER(SEARCH("verificar",G45)),ISNUMBER(SEARCH("pegar",G45))),"Verificar PIN",IF(G45="","PIN não informado","OK")))))</f>
        <v>PIN não informado</v>
      </c>
      <c r="I45" s="1"/>
      <c r="J45" s="1"/>
    </row>
    <row r="46" customFormat="false" ht="14.25" hidden="false" customHeight="false" outlineLevel="0" collapsed="false">
      <c r="A46" s="11" t="n">
        <v>42</v>
      </c>
      <c r="B46" s="12" t="s">
        <v>155</v>
      </c>
      <c r="C46" s="12" t="s">
        <v>164</v>
      </c>
      <c r="D46" s="12" t="s">
        <v>165</v>
      </c>
      <c r="E46" s="12" t="s">
        <v>166</v>
      </c>
      <c r="F46" s="13" t="s">
        <v>167</v>
      </c>
      <c r="G46" s="14"/>
      <c r="H46" s="11" t="str">
        <f aca="false">IF(OR(ISNUMBER(SEARCH("manual",F46)),ISNUMBER(SEARCH("usb",F46))),"Impressora local (USB)",IF(OR(E46="",ISNUMBER(SEARCH("verificar",E46))),"Verificar nº de série",IF(F46="","Sem IP cadastrado",IF(OR(ISNUMBER(SEARCH("verificar",G46)),ISNUMBER(SEARCH("pegar",G46))),"Verificar PIN",IF(G46="","PIN não informado","OK")))))</f>
        <v>PIN não informado</v>
      </c>
      <c r="I46" s="1"/>
      <c r="J46" s="1"/>
    </row>
    <row r="47" customFormat="false" ht="14.25" hidden="false" customHeight="false" outlineLevel="0" collapsed="false">
      <c r="A47" s="7" t="n">
        <v>43</v>
      </c>
      <c r="B47" s="8" t="s">
        <v>168</v>
      </c>
      <c r="C47" s="8" t="s">
        <v>169</v>
      </c>
      <c r="D47" s="8" t="s">
        <v>14</v>
      </c>
      <c r="E47" s="8" t="s">
        <v>124</v>
      </c>
      <c r="F47" s="9" t="s">
        <v>125</v>
      </c>
      <c r="G47" s="10"/>
      <c r="H47" s="7" t="str">
        <f aca="false">IF(OR(ISNUMBER(SEARCH("manual",F47)),ISNUMBER(SEARCH("usb",F47))),"Impressora local (USB)",IF(OR(E47="",ISNUMBER(SEARCH("verificar",E47))),"Verificar nº de série",IF(F47="","Sem IP cadastrado",IF(OR(ISNUMBER(SEARCH("verificar",G47)),ISNUMBER(SEARCH("pegar",G47))),"Verificar PIN",IF(G47="","PIN não informado","OK")))))</f>
        <v>PIN não informado</v>
      </c>
      <c r="I47" s="1"/>
      <c r="J47" s="1"/>
    </row>
    <row r="48" customFormat="false" ht="14.25" hidden="false" customHeight="false" outlineLevel="0" collapsed="false">
      <c r="A48" s="11" t="n">
        <v>44</v>
      </c>
      <c r="B48" s="12" t="s">
        <v>170</v>
      </c>
      <c r="C48" s="12" t="s">
        <v>171</v>
      </c>
      <c r="D48" s="12" t="s">
        <v>25</v>
      </c>
      <c r="E48" s="12" t="s">
        <v>172</v>
      </c>
      <c r="F48" s="13" t="s">
        <v>173</v>
      </c>
      <c r="G48" s="14"/>
      <c r="H48" s="11" t="str">
        <f aca="false">IF(OR(ISNUMBER(SEARCH("manual",F48)),ISNUMBER(SEARCH("usb",F48))),"Impressora local (USB)",IF(OR(E48="",ISNUMBER(SEARCH("verificar",E48))),"Verificar nº de série",IF(F48="","Sem IP cadastrado",IF(OR(ISNUMBER(SEARCH("verificar",G48)),ISNUMBER(SEARCH("pegar",G48))),"Verificar PIN",IF(G48="","PIN não informado","OK")))))</f>
        <v>PIN não informado</v>
      </c>
      <c r="I48" s="1"/>
      <c r="J48" s="1"/>
    </row>
    <row r="49" customFormat="false" ht="14.25" hidden="false" customHeight="false" outlineLevel="0" collapsed="false">
      <c r="A49" s="7" t="n">
        <v>45</v>
      </c>
      <c r="B49" s="8" t="s">
        <v>170</v>
      </c>
      <c r="C49" s="8" t="s">
        <v>174</v>
      </c>
      <c r="D49" s="8" t="s">
        <v>175</v>
      </c>
      <c r="E49" s="8" t="s">
        <v>176</v>
      </c>
      <c r="F49" s="9" t="s">
        <v>177</v>
      </c>
      <c r="G49" s="10"/>
      <c r="H49" s="7" t="str">
        <f aca="false">IF(OR(ISNUMBER(SEARCH("manual",F49)),ISNUMBER(SEARCH("usb",F49))),"Impressora local (USB)",IF(OR(E49="",ISNUMBER(SEARCH("verificar",E49))),"Verificar nº de série",IF(F49="","Sem IP cadastrado",IF(OR(ISNUMBER(SEARCH("verificar",G49)),ISNUMBER(SEARCH("pegar",G49))),"Verificar PIN",IF(G49="","PIN não informado","OK")))))</f>
        <v>PIN não informado</v>
      </c>
      <c r="I49" s="1"/>
      <c r="J49" s="1"/>
    </row>
    <row r="50" customFormat="false" ht="14.25" hidden="false" customHeight="false" outlineLevel="0" collapsed="false">
      <c r="A50" s="11" t="n">
        <v>46</v>
      </c>
      <c r="B50" s="12" t="s">
        <v>168</v>
      </c>
      <c r="C50" s="12" t="s">
        <v>178</v>
      </c>
      <c r="D50" s="12" t="s">
        <v>179</v>
      </c>
      <c r="E50" s="12" t="s">
        <v>180</v>
      </c>
      <c r="F50" s="13" t="s">
        <v>181</v>
      </c>
      <c r="G50" s="14" t="n">
        <v>92468001</v>
      </c>
      <c r="H50" s="11" t="str">
        <f aca="false">IF(OR(ISNUMBER(SEARCH("manual",F50)),ISNUMBER(SEARCH("usb",F50))),"Impressora local (USB)",IF(OR(E50="",ISNUMBER(SEARCH("verificar",E50))),"Verificar nº de série",IF(F50="","Sem IP cadastrado",IF(OR(ISNUMBER(SEARCH("verificar",G50)),ISNUMBER(SEARCH("pegar",G50))),"Verificar PIN",IF(G50="","PIN não informado","OK")))))</f>
        <v>OK</v>
      </c>
      <c r="I50" s="1"/>
      <c r="J50" s="1"/>
    </row>
    <row r="51" customFormat="false" ht="14.25" hidden="false" customHeight="false" outlineLevel="0" collapsed="false">
      <c r="A51" s="7" t="n">
        <v>47</v>
      </c>
      <c r="B51" s="8" t="s">
        <v>168</v>
      </c>
      <c r="C51" s="8" t="s">
        <v>182</v>
      </c>
      <c r="D51" s="8" t="s">
        <v>21</v>
      </c>
      <c r="E51" s="8" t="s">
        <v>183</v>
      </c>
      <c r="F51" s="9" t="s">
        <v>184</v>
      </c>
      <c r="G51" s="10" t="s">
        <v>144</v>
      </c>
      <c r="H51" s="7" t="str">
        <f aca="false">IF(OR(ISNUMBER(SEARCH("manual",F51)),ISNUMBER(SEARCH("usb",F51))),"Impressora local (USB)",IF(OR(E51="",ISNUMBER(SEARCH("verificar",E51))),"Verificar nº de série",IF(F51="","Sem IP cadastrado",IF(OR(ISNUMBER(SEARCH("verificar",G51)),ISNUMBER(SEARCH("pegar",G51))),"Verificar PIN",IF(G51="","PIN não informado","OK")))))</f>
        <v>Verificar PIN</v>
      </c>
      <c r="I51" s="1"/>
      <c r="J51" s="1"/>
    </row>
    <row r="52" customFormat="false" ht="14.25" hidden="false" customHeight="false" outlineLevel="0" collapsed="false">
      <c r="A52" s="11" t="n">
        <v>48</v>
      </c>
      <c r="B52" s="12" t="s">
        <v>168</v>
      </c>
      <c r="C52" s="12" t="s">
        <v>185</v>
      </c>
      <c r="D52" s="12" t="s">
        <v>114</v>
      </c>
      <c r="E52" s="12" t="s">
        <v>186</v>
      </c>
      <c r="F52" s="13" t="s">
        <v>187</v>
      </c>
      <c r="G52" s="14"/>
      <c r="H52" s="11" t="str">
        <f aca="false">IF(OR(ISNUMBER(SEARCH("manual",F52)),ISNUMBER(SEARCH("usb",F52))),"Impressora local (USB)",IF(OR(E52="",ISNUMBER(SEARCH("verificar",E52))),"Verificar nº de série",IF(F52="","Sem IP cadastrado",IF(OR(ISNUMBER(SEARCH("verificar",G52)),ISNUMBER(SEARCH("pegar",G52))),"Verificar PIN",IF(G52="","PIN não informado","OK")))))</f>
        <v>PIN não informado</v>
      </c>
      <c r="I52" s="1"/>
      <c r="J52" s="1"/>
    </row>
    <row r="53" customFormat="false" ht="14.25" hidden="false" customHeight="false" outlineLevel="0" collapsed="false">
      <c r="A53" s="7" t="n">
        <v>49</v>
      </c>
      <c r="B53" s="8" t="s">
        <v>168</v>
      </c>
      <c r="C53" s="8" t="s">
        <v>188</v>
      </c>
      <c r="D53" s="8" t="s">
        <v>189</v>
      </c>
      <c r="E53" s="8" t="s">
        <v>190</v>
      </c>
      <c r="F53" s="9" t="s">
        <v>191</v>
      </c>
      <c r="G53" s="10"/>
      <c r="H53" s="7" t="str">
        <f aca="false">IF(OR(ISNUMBER(SEARCH("manual",F53)),ISNUMBER(SEARCH("usb",F53))),"Impressora local (USB)",IF(OR(E53="",ISNUMBER(SEARCH("verificar",E53))),"Verificar nº de série",IF(F53="","Sem IP cadastrado",IF(OR(ISNUMBER(SEARCH("verificar",G53)),ISNUMBER(SEARCH("pegar",G53))),"Verificar PIN",IF(G53="","PIN não informado","OK")))))</f>
        <v>PIN não informado</v>
      </c>
      <c r="I53" s="1"/>
      <c r="J53" s="1"/>
    </row>
    <row r="54" customFormat="false" ht="14.25" hidden="false" customHeight="false" outlineLevel="0" collapsed="false">
      <c r="A54" s="11" t="n">
        <v>50</v>
      </c>
      <c r="B54" s="12" t="s">
        <v>168</v>
      </c>
      <c r="C54" s="12" t="s">
        <v>192</v>
      </c>
      <c r="D54" s="12" t="s">
        <v>193</v>
      </c>
      <c r="E54" s="12" t="s">
        <v>194</v>
      </c>
      <c r="F54" s="13" t="s">
        <v>195</v>
      </c>
      <c r="G54" s="14"/>
      <c r="H54" s="11" t="str">
        <f aca="false">IF(OR(ISNUMBER(SEARCH("manual",F54)),ISNUMBER(SEARCH("usb",F54))),"Impressora local (USB)",IF(OR(E54="",ISNUMBER(SEARCH("verificar",E54))),"Verificar nº de série",IF(F54="","Sem IP cadastrado",IF(OR(ISNUMBER(SEARCH("verificar",G54)),ISNUMBER(SEARCH("pegar",G54))),"Verificar PIN",IF(G54="","PIN não informado","OK")))))</f>
        <v>PIN não informado</v>
      </c>
      <c r="I54" s="1"/>
      <c r="J54" s="1"/>
    </row>
    <row r="55" customFormat="false" ht="14.25" hidden="false" customHeight="false" outlineLevel="0" collapsed="false">
      <c r="A55" s="7" t="n">
        <v>51</v>
      </c>
      <c r="B55" s="8" t="s">
        <v>168</v>
      </c>
      <c r="C55" s="8" t="s">
        <v>196</v>
      </c>
      <c r="D55" s="8" t="s">
        <v>197</v>
      </c>
      <c r="E55" s="8" t="s">
        <v>198</v>
      </c>
      <c r="F55" s="9" t="s">
        <v>199</v>
      </c>
      <c r="G55" s="10"/>
      <c r="H55" s="7" t="str">
        <f aca="false">IF(OR(ISNUMBER(SEARCH("manual",F55)),ISNUMBER(SEARCH("usb",F55))),"Impressora local (USB)",IF(OR(E55="",ISNUMBER(SEARCH("verificar",E55))),"Verificar nº de série",IF(F55="","Sem IP cadastrado",IF(OR(ISNUMBER(SEARCH("verificar",G55)),ISNUMBER(SEARCH("pegar",G55))),"Verificar PIN",IF(G55="","PIN não informado","OK")))))</f>
        <v>PIN não informado</v>
      </c>
      <c r="I55" s="1"/>
      <c r="J55" s="1"/>
    </row>
    <row r="56" customFormat="false" ht="14.25" hidden="false" customHeight="false" outlineLevel="0" collapsed="false">
      <c r="A56" s="11" t="n">
        <v>52</v>
      </c>
      <c r="B56" s="12" t="s">
        <v>168</v>
      </c>
      <c r="C56" s="12" t="s">
        <v>200</v>
      </c>
      <c r="D56" s="12" t="s">
        <v>21</v>
      </c>
      <c r="E56" s="12" t="s">
        <v>201</v>
      </c>
      <c r="F56" s="13" t="s">
        <v>202</v>
      </c>
      <c r="G56" s="14" t="n">
        <v>99253758</v>
      </c>
      <c r="H56" s="11" t="str">
        <f aca="false">IF(OR(ISNUMBER(SEARCH("manual",F56)),ISNUMBER(SEARCH("usb",F56))),"Impressora local (USB)",IF(OR(E56="",ISNUMBER(SEARCH("verificar",E56))),"Verificar nº de série",IF(F56="","Sem IP cadastrado",IF(OR(ISNUMBER(SEARCH("verificar",G56)),ISNUMBER(SEARCH("pegar",G56))),"Verificar PIN",IF(G56="","PIN não informado","OK")))))</f>
        <v>OK</v>
      </c>
      <c r="I56" s="1"/>
      <c r="J56" s="1"/>
    </row>
    <row r="57" customFormat="false" ht="14.25" hidden="false" customHeight="false" outlineLevel="0" collapsed="false">
      <c r="A57" s="7" t="n">
        <v>53</v>
      </c>
      <c r="B57" s="8" t="s">
        <v>168</v>
      </c>
      <c r="C57" s="8" t="s">
        <v>203</v>
      </c>
      <c r="D57" s="8" t="s">
        <v>204</v>
      </c>
      <c r="E57" s="8" t="s">
        <v>205</v>
      </c>
      <c r="F57" s="9" t="s">
        <v>206</v>
      </c>
      <c r="G57" s="10"/>
      <c r="H57" s="7" t="str">
        <f aca="false">IF(OR(ISNUMBER(SEARCH("manual",F57)),ISNUMBER(SEARCH("usb",F57))),"Impressora local (USB)",IF(OR(E57="",ISNUMBER(SEARCH("verificar",E57))),"Verificar nº de série",IF(F57="","Sem IP cadastrado",IF(OR(ISNUMBER(SEARCH("verificar",G57)),ISNUMBER(SEARCH("pegar",G57))),"Verificar PIN",IF(G57="","PIN não informado","OK")))))</f>
        <v>PIN não informado</v>
      </c>
      <c r="I57" s="1"/>
      <c r="J57" s="1"/>
    </row>
    <row r="58" customFormat="false" ht="14.25" hidden="false" customHeight="false" outlineLevel="0" collapsed="false">
      <c r="A58" s="11" t="n">
        <v>54</v>
      </c>
      <c r="B58" s="12" t="s">
        <v>168</v>
      </c>
      <c r="C58" s="12" t="s">
        <v>207</v>
      </c>
      <c r="D58" s="12" t="s">
        <v>77</v>
      </c>
      <c r="E58" s="12" t="s">
        <v>208</v>
      </c>
      <c r="F58" s="13" t="s">
        <v>209</v>
      </c>
      <c r="G58" s="14"/>
      <c r="H58" s="11" t="str">
        <f aca="false">IF(OR(ISNUMBER(SEARCH("manual",F58)),ISNUMBER(SEARCH("usb",F58))),"Impressora local (USB)",IF(OR(E58="",ISNUMBER(SEARCH("verificar",E58))),"Verificar nº de série",IF(F58="","Sem IP cadastrado",IF(OR(ISNUMBER(SEARCH("verificar",G58)),ISNUMBER(SEARCH("pegar",G58))),"Verificar PIN",IF(G58="","PIN não informado","OK")))))</f>
        <v>PIN não informado</v>
      </c>
      <c r="I58" s="1"/>
      <c r="J58" s="1"/>
    </row>
    <row r="59" customFormat="false" ht="14.25" hidden="false" customHeight="false" outlineLevel="0" collapsed="false">
      <c r="A59" s="7" t="n">
        <v>55</v>
      </c>
      <c r="B59" s="8" t="s">
        <v>168</v>
      </c>
      <c r="C59" s="8" t="s">
        <v>210</v>
      </c>
      <c r="D59" s="8" t="s">
        <v>25</v>
      </c>
      <c r="E59" s="8" t="s">
        <v>211</v>
      </c>
      <c r="F59" s="9" t="s">
        <v>212</v>
      </c>
      <c r="G59" s="10"/>
      <c r="H59" s="7" t="str">
        <f aca="false">IF(OR(ISNUMBER(SEARCH("manual",F59)),ISNUMBER(SEARCH("usb",F59))),"Impressora local (USB)",IF(OR(E59="",ISNUMBER(SEARCH("verificar",E59))),"Verificar nº de série",IF(F59="","Sem IP cadastrado",IF(OR(ISNUMBER(SEARCH("verificar",G59)),ISNUMBER(SEARCH("pegar",G59))),"Verificar PIN",IF(G59="","PIN não informado","OK")))))</f>
        <v>PIN não informado</v>
      </c>
      <c r="I59" s="1"/>
      <c r="J59" s="1"/>
    </row>
    <row r="60" customFormat="false" ht="14.25" hidden="false" customHeight="false" outlineLevel="0" collapsed="false">
      <c r="A60" s="11" t="n">
        <v>56</v>
      </c>
      <c r="B60" s="12" t="s">
        <v>170</v>
      </c>
      <c r="C60" s="12" t="s">
        <v>213</v>
      </c>
      <c r="D60" s="12" t="s">
        <v>21</v>
      </c>
      <c r="E60" s="12" t="s">
        <v>214</v>
      </c>
      <c r="F60" s="13" t="s">
        <v>215</v>
      </c>
      <c r="G60" s="14" t="n">
        <v>93689844</v>
      </c>
      <c r="H60" s="11" t="str">
        <f aca="false">IF(OR(ISNUMBER(SEARCH("manual",F60)),ISNUMBER(SEARCH("usb",F60))),"Impressora local (USB)",IF(OR(E60="",ISNUMBER(SEARCH("verificar",E60))),"Verificar nº de série",IF(F60="","Sem IP cadastrado",IF(OR(ISNUMBER(SEARCH("verificar",G60)),ISNUMBER(SEARCH("pegar",G60))),"Verificar PIN",IF(G60="","PIN não informado","OK")))))</f>
        <v>OK</v>
      </c>
      <c r="I60" s="1"/>
      <c r="J60" s="1"/>
    </row>
    <row r="61" customFormat="false" ht="14.25" hidden="false" customHeight="false" outlineLevel="0" collapsed="false">
      <c r="A61" s="7" t="n">
        <v>57</v>
      </c>
      <c r="B61" s="8" t="s">
        <v>170</v>
      </c>
      <c r="C61" s="8" t="s">
        <v>216</v>
      </c>
      <c r="D61" s="8" t="s">
        <v>189</v>
      </c>
      <c r="E61" s="8" t="s">
        <v>217</v>
      </c>
      <c r="F61" s="9" t="s">
        <v>218</v>
      </c>
      <c r="G61" s="10" t="s">
        <v>144</v>
      </c>
      <c r="H61" s="7" t="str">
        <f aca="false">IF(OR(ISNUMBER(SEARCH("manual",F61)),ISNUMBER(SEARCH("usb",F61))),"Impressora local (USB)",IF(OR(E61="",ISNUMBER(SEARCH("verificar",E61))),"Verificar nº de série",IF(F61="","Sem IP cadastrado",IF(OR(ISNUMBER(SEARCH("verificar",G61)),ISNUMBER(SEARCH("pegar",G61))),"Verificar PIN",IF(G61="","PIN não informado","OK")))))</f>
        <v>Verificar PIN</v>
      </c>
      <c r="I61" s="1"/>
      <c r="J61" s="1"/>
    </row>
    <row r="62" customFormat="false" ht="14.25" hidden="false" customHeight="false" outlineLevel="0" collapsed="false">
      <c r="A62" s="11" t="n">
        <v>58</v>
      </c>
      <c r="B62" s="12" t="s">
        <v>168</v>
      </c>
      <c r="C62" s="12" t="s">
        <v>219</v>
      </c>
      <c r="D62" s="12" t="s">
        <v>114</v>
      </c>
      <c r="E62" s="12" t="s">
        <v>220</v>
      </c>
      <c r="F62" s="13" t="s">
        <v>221</v>
      </c>
      <c r="G62" s="14"/>
      <c r="H62" s="11" t="str">
        <f aca="false">IF(OR(ISNUMBER(SEARCH("manual",F62)),ISNUMBER(SEARCH("usb",F62))),"Impressora local (USB)",IF(OR(E62="",ISNUMBER(SEARCH("verificar",E62))),"Verificar nº de série",IF(F62="","Sem IP cadastrado",IF(OR(ISNUMBER(SEARCH("verificar",G62)),ISNUMBER(SEARCH("pegar",G62))),"Verificar PIN",IF(G62="","PIN não informado","OK")))))</f>
        <v>PIN não informado</v>
      </c>
      <c r="I62" s="1"/>
      <c r="J62" s="1"/>
    </row>
    <row r="63" customFormat="false" ht="14.25" hidden="false" customHeight="false" outlineLevel="0" collapsed="false">
      <c r="A63" s="7" t="n">
        <v>59</v>
      </c>
      <c r="B63" s="8" t="s">
        <v>170</v>
      </c>
      <c r="C63" s="8" t="s">
        <v>222</v>
      </c>
      <c r="D63" s="8" t="s">
        <v>223</v>
      </c>
      <c r="E63" s="8" t="s">
        <v>224</v>
      </c>
      <c r="F63" s="9" t="s">
        <v>225</v>
      </c>
      <c r="G63" s="10"/>
      <c r="H63" s="7" t="str">
        <f aca="false">IF(OR(ISNUMBER(SEARCH("manual",F63)),ISNUMBER(SEARCH("usb",F63))),"Impressora local (USB)",IF(OR(E63="",ISNUMBER(SEARCH("verificar",E63))),"Verificar nº de série",IF(F63="","Sem IP cadastrado",IF(OR(ISNUMBER(SEARCH("verificar",G63)),ISNUMBER(SEARCH("pegar",G63))),"Verificar PIN",IF(G63="","PIN não informado","OK")))))</f>
        <v>PIN não informado</v>
      </c>
      <c r="I63" s="1"/>
      <c r="J63" s="1"/>
    </row>
    <row r="64" customFormat="false" ht="14.25" hidden="false" customHeight="false" outlineLevel="0" collapsed="false">
      <c r="A64" s="11" t="n">
        <v>60</v>
      </c>
      <c r="B64" s="12" t="s">
        <v>170</v>
      </c>
      <c r="C64" s="12" t="s">
        <v>226</v>
      </c>
      <c r="D64" s="12" t="s">
        <v>227</v>
      </c>
      <c r="E64" s="12" t="s">
        <v>228</v>
      </c>
      <c r="F64" s="13" t="s">
        <v>229</v>
      </c>
      <c r="G64" s="14"/>
      <c r="H64" s="11" t="str">
        <f aca="false">IF(OR(ISNUMBER(SEARCH("manual",F64)),ISNUMBER(SEARCH("usb",F64))),"Impressora local (USB)",IF(OR(E64="",ISNUMBER(SEARCH("verificar",E64))),"Verificar nº de série",IF(F64="","Sem IP cadastrado",IF(OR(ISNUMBER(SEARCH("verificar",G64)),ISNUMBER(SEARCH("pegar",G64))),"Verificar PIN",IF(G64="","PIN não informado","OK")))))</f>
        <v>PIN não informado</v>
      </c>
      <c r="I64" s="1"/>
      <c r="J64" s="1"/>
    </row>
    <row r="65" customFormat="false" ht="14.25" hidden="false" customHeight="false" outlineLevel="0" collapsed="false">
      <c r="A65" s="7" t="n">
        <v>61</v>
      </c>
      <c r="B65" s="8" t="s">
        <v>230</v>
      </c>
      <c r="C65" s="8" t="s">
        <v>230</v>
      </c>
      <c r="D65" s="8" t="s">
        <v>98</v>
      </c>
      <c r="E65" s="8" t="s">
        <v>231</v>
      </c>
      <c r="F65" s="9" t="s">
        <v>232</v>
      </c>
      <c r="G65" s="10"/>
      <c r="H65" s="7" t="str">
        <f aca="false">IF(OR(ISNUMBER(SEARCH("manual",F65)),ISNUMBER(SEARCH("usb",F65))),"Impressora local (USB)",IF(OR(E65="",ISNUMBER(SEARCH("verificar",E65))),"Verificar nº de série",IF(F65="","Sem IP cadastrado",IF(OR(ISNUMBER(SEARCH("verificar",G65)),ISNUMBER(SEARCH("pegar",G65))),"Verificar PIN",IF(G65="","PIN não informado","OK")))))</f>
        <v>PIN não informado</v>
      </c>
      <c r="I65" s="1"/>
      <c r="J65" s="1"/>
    </row>
    <row r="66" customFormat="false" ht="14.25" hidden="false" customHeight="false" outlineLevel="0" collapsed="false">
      <c r="A66" s="11" t="n">
        <v>62</v>
      </c>
      <c r="B66" s="12" t="s">
        <v>230</v>
      </c>
      <c r="C66" s="12" t="s">
        <v>233</v>
      </c>
      <c r="D66" s="12" t="s">
        <v>28</v>
      </c>
      <c r="E66" s="12" t="s">
        <v>234</v>
      </c>
      <c r="F66" s="13" t="s">
        <v>235</v>
      </c>
      <c r="G66" s="14" t="n">
        <v>65637909</v>
      </c>
      <c r="H66" s="11" t="str">
        <f aca="false">IF(OR(ISNUMBER(SEARCH("manual",F66)),ISNUMBER(SEARCH("usb",F66))),"Impressora local (USB)",IF(OR(E66="",ISNUMBER(SEARCH("verificar",E66))),"Verificar nº de série",IF(F66="","Sem IP cadastrado",IF(OR(ISNUMBER(SEARCH("verificar",G66)),ISNUMBER(SEARCH("pegar",G66))),"Verificar PIN",IF(G66="","PIN não informado","OK")))))</f>
        <v>OK</v>
      </c>
      <c r="I66" s="1"/>
      <c r="J66" s="1"/>
    </row>
    <row r="67" customFormat="false" ht="14.25" hidden="false" customHeight="false" outlineLevel="0" collapsed="false">
      <c r="A67" s="7" t="n">
        <v>63</v>
      </c>
      <c r="B67" s="8" t="s">
        <v>230</v>
      </c>
      <c r="C67" s="8" t="s">
        <v>236</v>
      </c>
      <c r="D67" s="8" t="s">
        <v>28</v>
      </c>
      <c r="E67" s="8" t="s">
        <v>237</v>
      </c>
      <c r="F67" s="9" t="s">
        <v>238</v>
      </c>
      <c r="G67" s="10" t="s">
        <v>239</v>
      </c>
      <c r="H67" s="7" t="str">
        <f aca="false">IF(OR(ISNUMBER(SEARCH("manual",F67)),ISNUMBER(SEARCH("usb",F67))),"Impressora local (USB)",IF(OR(E67="",ISNUMBER(SEARCH("verificar",E67))),"Verificar nº de série",IF(F67="","Sem IP cadastrado",IF(OR(ISNUMBER(SEARCH("verificar",G67)),ISNUMBER(SEARCH("pegar",G67))),"Verificar PIN",IF(G67="","PIN não informado","OK")))))</f>
        <v>OK</v>
      </c>
      <c r="I67" s="1"/>
      <c r="J67" s="1"/>
    </row>
    <row r="68" customFormat="false" ht="14.25" hidden="false" customHeight="false" outlineLevel="0" collapsed="false">
      <c r="A68" s="11" t="n">
        <v>64</v>
      </c>
      <c r="B68" s="12" t="s">
        <v>240</v>
      </c>
      <c r="C68" s="12" t="s">
        <v>241</v>
      </c>
      <c r="D68" s="12" t="s">
        <v>28</v>
      </c>
      <c r="E68" s="12" t="s">
        <v>242</v>
      </c>
      <c r="F68" s="13" t="s">
        <v>243</v>
      </c>
      <c r="G68" s="14" t="n">
        <v>65545428</v>
      </c>
      <c r="H68" s="11" t="str">
        <f aca="false">IF(OR(ISNUMBER(SEARCH("manual",F68)),ISNUMBER(SEARCH("usb",F68))),"Impressora local (USB)",IF(OR(E68="",ISNUMBER(SEARCH("verificar",E68))),"Verificar nº de série",IF(F68="","Sem IP cadastrado",IF(OR(ISNUMBER(SEARCH("verificar",G68)),ISNUMBER(SEARCH("pegar",G68))),"Verificar PIN",IF(G68="","PIN não informado","OK")))))</f>
        <v>OK</v>
      </c>
      <c r="I68" s="1"/>
      <c r="J68" s="1"/>
    </row>
    <row r="69" customFormat="false" ht="14.25" hidden="false" customHeight="false" outlineLevel="0" collapsed="false">
      <c r="A69" s="7" t="n">
        <v>65</v>
      </c>
      <c r="B69" s="8" t="s">
        <v>240</v>
      </c>
      <c r="C69" s="8" t="s">
        <v>244</v>
      </c>
      <c r="D69" s="8" t="s">
        <v>28</v>
      </c>
      <c r="E69" s="8" t="s">
        <v>245</v>
      </c>
      <c r="F69" s="9" t="s">
        <v>246</v>
      </c>
      <c r="G69" s="10" t="n">
        <v>99128754</v>
      </c>
      <c r="H69" s="7" t="str">
        <f aca="false">IF(OR(ISNUMBER(SEARCH("manual",F69)),ISNUMBER(SEARCH("usb",F69))),"Impressora local (USB)",IF(OR(E69="",ISNUMBER(SEARCH("verificar",E69))),"Verificar nº de série",IF(F69="","Sem IP cadastrado",IF(OR(ISNUMBER(SEARCH("verificar",G69)),ISNUMBER(SEARCH("pegar",G69))),"Verificar PIN",IF(G69="","PIN não informado","OK")))))</f>
        <v>OK</v>
      </c>
      <c r="I69" s="1"/>
      <c r="J69" s="1"/>
    </row>
    <row r="70" customFormat="false" ht="14.25" hidden="false" customHeight="false" outlineLevel="0" collapsed="false">
      <c r="A70" s="11" t="n">
        <v>66</v>
      </c>
      <c r="B70" s="12" t="s">
        <v>240</v>
      </c>
      <c r="C70" s="12" t="s">
        <v>247</v>
      </c>
      <c r="D70" s="12" t="s">
        <v>248</v>
      </c>
      <c r="E70" s="12" t="s">
        <v>249</v>
      </c>
      <c r="F70" s="13" t="s">
        <v>250</v>
      </c>
      <c r="G70" s="14"/>
      <c r="H70" s="11" t="str">
        <f aca="false">IF(OR(ISNUMBER(SEARCH("manual",F70)),ISNUMBER(SEARCH("usb",F70))),"Impressora local (USB)",IF(OR(E70="",ISNUMBER(SEARCH("verificar",E70))),"Verificar nº de série",IF(F70="","Sem IP cadastrado",IF(OR(ISNUMBER(SEARCH("verificar",G70)),ISNUMBER(SEARCH("pegar",G70))),"Verificar PIN",IF(G70="","PIN não informado","OK")))))</f>
        <v>PIN não informado</v>
      </c>
      <c r="I70" s="1"/>
      <c r="J70" s="1"/>
    </row>
    <row r="71" customFormat="false" ht="14.25" hidden="false" customHeight="false" outlineLevel="0" collapsed="false">
      <c r="A71" s="7" t="n">
        <v>67</v>
      </c>
      <c r="B71" s="8" t="s">
        <v>240</v>
      </c>
      <c r="C71" s="8" t="s">
        <v>251</v>
      </c>
      <c r="D71" s="8" t="s">
        <v>98</v>
      </c>
      <c r="E71" s="8" t="s">
        <v>252</v>
      </c>
      <c r="F71" s="9" t="s">
        <v>253</v>
      </c>
      <c r="G71" s="10"/>
      <c r="H71" s="7" t="str">
        <f aca="false">IF(OR(ISNUMBER(SEARCH("manual",F71)),ISNUMBER(SEARCH("usb",F71))),"Impressora local (USB)",IF(OR(E71="",ISNUMBER(SEARCH("verificar",E71))),"Verificar nº de série",IF(F71="","Sem IP cadastrado",IF(OR(ISNUMBER(SEARCH("verificar",G71)),ISNUMBER(SEARCH("pegar",G71))),"Verificar PIN",IF(G71="","PIN não informado","OK")))))</f>
        <v>PIN não informado</v>
      </c>
      <c r="I71" s="1"/>
      <c r="J71" s="1"/>
    </row>
    <row r="72" customFormat="false" ht="14.25" hidden="false" customHeight="false" outlineLevel="0" collapsed="false">
      <c r="A72" s="11" t="n">
        <v>68</v>
      </c>
      <c r="B72" s="12" t="s">
        <v>240</v>
      </c>
      <c r="C72" s="12" t="s">
        <v>254</v>
      </c>
      <c r="D72" s="12"/>
      <c r="E72" s="12"/>
      <c r="F72" s="13" t="s">
        <v>255</v>
      </c>
      <c r="G72" s="14" t="s">
        <v>26</v>
      </c>
      <c r="H72" s="11" t="str">
        <f aca="false">IF(OR(ISNUMBER(SEARCH("manual",F72)),ISNUMBER(SEARCH("usb",F72))),"Impressora local (USB)",IF(OR(E72="",ISNUMBER(SEARCH("verificar",E72))),"Verificar nº de série",IF(F72="","Sem IP cadastrado",IF(OR(ISNUMBER(SEARCH("verificar",G72)),ISNUMBER(SEARCH("pegar",G72))),"Verificar PIN",IF(G72="","PIN não informado","OK")))))</f>
        <v>Verificar nº de série</v>
      </c>
      <c r="I72" s="1"/>
      <c r="J72" s="1"/>
    </row>
    <row r="73" customFormat="false" ht="14.25" hidden="false" customHeight="false" outlineLevel="0" collapsed="false">
      <c r="A73" s="7" t="n">
        <v>69</v>
      </c>
      <c r="B73" s="8" t="s">
        <v>256</v>
      </c>
      <c r="C73" s="8" t="s">
        <v>257</v>
      </c>
      <c r="D73" s="8" t="s">
        <v>25</v>
      </c>
      <c r="E73" s="8" t="s">
        <v>258</v>
      </c>
      <c r="F73" s="9" t="s">
        <v>259</v>
      </c>
      <c r="G73" s="10"/>
      <c r="H73" s="7" t="str">
        <f aca="false">IF(OR(ISNUMBER(SEARCH("manual",F73)),ISNUMBER(SEARCH("usb",F73))),"Impressora local (USB)",IF(OR(E73="",ISNUMBER(SEARCH("verificar",E73))),"Verificar nº de série",IF(F73="","Sem IP cadastrado",IF(OR(ISNUMBER(SEARCH("verificar",G73)),ISNUMBER(SEARCH("pegar",G73))),"Verificar PIN",IF(G73="","PIN não informado","OK")))))</f>
        <v>PIN não informado</v>
      </c>
      <c r="I73" s="1"/>
      <c r="J73" s="1"/>
    </row>
    <row r="74" customFormat="false" ht="14.25" hidden="false" customHeight="false" outlineLevel="0" collapsed="false">
      <c r="A74" s="11" t="n">
        <v>70</v>
      </c>
      <c r="B74" s="12" t="s">
        <v>256</v>
      </c>
      <c r="C74" s="12" t="s">
        <v>260</v>
      </c>
      <c r="D74" s="12" t="s">
        <v>39</v>
      </c>
      <c r="E74" s="12" t="s">
        <v>261</v>
      </c>
      <c r="F74" s="13" t="s">
        <v>262</v>
      </c>
      <c r="G74" s="14" t="s">
        <v>263</v>
      </c>
      <c r="H74" s="11" t="str">
        <f aca="false">IF(OR(ISNUMBER(SEARCH("manual",F74)),ISNUMBER(SEARCH("usb",F74))),"Impressora local (USB)",IF(OR(E74="",ISNUMBER(SEARCH("verificar",E74))),"Verificar nº de série",IF(F74="","Sem IP cadastrado",IF(OR(ISNUMBER(SEARCH("verificar",G74)),ISNUMBER(SEARCH("pegar",G74))),"Verificar PIN",IF(G74="","PIN não informado","OK")))))</f>
        <v>OK</v>
      </c>
      <c r="I74" s="1"/>
      <c r="J74" s="1"/>
    </row>
    <row r="75" customFormat="false" ht="14.25" hidden="false" customHeight="false" outlineLevel="0" collapsed="false">
      <c r="A75" s="7" t="n">
        <v>71</v>
      </c>
      <c r="B75" s="8" t="s">
        <v>256</v>
      </c>
      <c r="C75" s="8" t="s">
        <v>264</v>
      </c>
      <c r="D75" s="8" t="s">
        <v>28</v>
      </c>
      <c r="E75" s="8" t="s">
        <v>265</v>
      </c>
      <c r="F75" s="9" t="s">
        <v>266</v>
      </c>
      <c r="G75" s="10" t="n">
        <v>99138892</v>
      </c>
      <c r="H75" s="7" t="str">
        <f aca="false">IF(OR(ISNUMBER(SEARCH("manual",F75)),ISNUMBER(SEARCH("usb",F75))),"Impressora local (USB)",IF(OR(E75="",ISNUMBER(SEARCH("verificar",E75))),"Verificar nº de série",IF(F75="","Sem IP cadastrado",IF(OR(ISNUMBER(SEARCH("verificar",G75)),ISNUMBER(SEARCH("pegar",G75))),"Verificar PIN",IF(G75="","PIN não informado","OK")))))</f>
        <v>OK</v>
      </c>
      <c r="I75" s="1"/>
      <c r="J75" s="1"/>
    </row>
    <row r="76" customFormat="false" ht="14.25" hidden="false" customHeight="false" outlineLevel="0" collapsed="false">
      <c r="A76" s="11" t="n">
        <v>72</v>
      </c>
      <c r="B76" s="12" t="s">
        <v>267</v>
      </c>
      <c r="C76" s="12" t="s">
        <v>268</v>
      </c>
      <c r="D76" s="12" t="s">
        <v>269</v>
      </c>
      <c r="E76" s="12" t="s">
        <v>270</v>
      </c>
      <c r="F76" s="13"/>
      <c r="G76" s="14" t="s">
        <v>159</v>
      </c>
      <c r="H76" s="11" t="str">
        <f aca="false">IF(OR(ISNUMBER(SEARCH("manual",F76)),ISNUMBER(SEARCH("usb",F76))),"Impressora local (USB)",IF(OR(E76="",ISNUMBER(SEARCH("verificar",E76))),"Verificar nº de série",IF(F76="","Sem IP cadastrado",IF(OR(ISNUMBER(SEARCH("verificar",G76)),ISNUMBER(SEARCH("pegar",G76))),"Verificar PIN",IF(G76="","PIN não informado","OK")))))</f>
        <v>Sem IP cadastrado</v>
      </c>
    </row>
    <row r="77" customFormat="false" ht="14.25" hidden="false" customHeight="false" outlineLevel="0" collapsed="false">
      <c r="A77" s="7" t="n">
        <v>73</v>
      </c>
      <c r="B77" s="8" t="s">
        <v>267</v>
      </c>
      <c r="C77" s="8" t="s">
        <v>271</v>
      </c>
      <c r="D77" s="8" t="s">
        <v>272</v>
      </c>
      <c r="E77" s="8" t="s">
        <v>273</v>
      </c>
      <c r="F77" s="9" t="s">
        <v>274</v>
      </c>
      <c r="G77" s="10" t="n">
        <v>58042722</v>
      </c>
      <c r="H77" s="7" t="str">
        <f aca="false">IF(OR(ISNUMBER(SEARCH("manual",F77)),ISNUMBER(SEARCH("usb",F77))),"Impressora local (USB)",IF(OR(E77="",ISNUMBER(SEARCH("verificar",E77))),"Verificar nº de série",IF(F77="","Sem IP cadastrado",IF(OR(ISNUMBER(SEARCH("verificar",G77)),ISNUMBER(SEARCH("pegar",G77))),"Verificar PIN",IF(G77="","PIN não informado","OK")))))</f>
        <v>OK</v>
      </c>
    </row>
    <row r="78" customFormat="false" ht="14.25" hidden="false" customHeight="false" outlineLevel="0" collapsed="false">
      <c r="A78" s="11" t="n">
        <v>74</v>
      </c>
      <c r="B78" s="12" t="s">
        <v>267</v>
      </c>
      <c r="C78" s="12" t="s">
        <v>275</v>
      </c>
      <c r="D78" s="12" t="s">
        <v>77</v>
      </c>
      <c r="E78" s="12" t="s">
        <v>276</v>
      </c>
      <c r="F78" s="13" t="s">
        <v>277</v>
      </c>
      <c r="G78" s="14"/>
      <c r="H78" s="11" t="str">
        <f aca="false">IF(OR(ISNUMBER(SEARCH("manual",F78)),ISNUMBER(SEARCH("usb",F78))),"Impressora local (USB)",IF(OR(E78="",ISNUMBER(SEARCH("verificar",E78))),"Verificar nº de série",IF(F78="","Sem IP cadastrado",IF(OR(ISNUMBER(SEARCH("verificar",G78)),ISNUMBER(SEARCH("pegar",G78))),"Verificar PIN",IF(G78="","PIN não informado","OK")))))</f>
        <v>PIN não informado</v>
      </c>
    </row>
    <row r="79" customFormat="false" ht="14.25" hidden="false" customHeight="false" outlineLevel="0" collapsed="false">
      <c r="A79" s="7" t="n">
        <v>75</v>
      </c>
      <c r="B79" s="8" t="s">
        <v>267</v>
      </c>
      <c r="C79" s="8" t="s">
        <v>278</v>
      </c>
      <c r="D79" s="8" t="s">
        <v>28</v>
      </c>
      <c r="E79" s="8" t="s">
        <v>279</v>
      </c>
      <c r="F79" s="9" t="s">
        <v>280</v>
      </c>
      <c r="G79" s="10" t="n">
        <v>21624835</v>
      </c>
      <c r="H79" s="7" t="str">
        <f aca="false">IF(OR(ISNUMBER(SEARCH("manual",F79)),ISNUMBER(SEARCH("usb",F79))),"Impressora local (USB)",IF(OR(E79="",ISNUMBER(SEARCH("verificar",E79))),"Verificar nº de série",IF(F79="","Sem IP cadastrado",IF(OR(ISNUMBER(SEARCH("verificar",G79)),ISNUMBER(SEARCH("pegar",G79))),"Verificar PIN",IF(G79="","PIN não informado","OK")))))</f>
        <v>OK</v>
      </c>
    </row>
    <row r="80" customFormat="false" ht="14.25" hidden="false" customHeight="false" outlineLevel="0" collapsed="false">
      <c r="A80" s="11" t="n">
        <v>76</v>
      </c>
      <c r="B80" s="12" t="s">
        <v>267</v>
      </c>
      <c r="C80" s="12" t="s">
        <v>281</v>
      </c>
      <c r="D80" s="12" t="s">
        <v>28</v>
      </c>
      <c r="E80" s="12" t="s">
        <v>282</v>
      </c>
      <c r="F80" s="13" t="s">
        <v>283</v>
      </c>
      <c r="G80" s="14" t="n">
        <v>98910612</v>
      </c>
      <c r="H80" s="11" t="str">
        <f aca="false">IF(OR(ISNUMBER(SEARCH("manual",F80)),ISNUMBER(SEARCH("usb",F80))),"Impressora local (USB)",IF(OR(E80="",ISNUMBER(SEARCH("verificar",E80))),"Verificar nº de série",IF(F80="","Sem IP cadastrado",IF(OR(ISNUMBER(SEARCH("verificar",G80)),ISNUMBER(SEARCH("pegar",G80))),"Verificar PIN",IF(G80="","PIN não informado","OK")))))</f>
        <v>OK</v>
      </c>
    </row>
    <row r="81" customFormat="false" ht="14.25" hidden="false" customHeight="false" outlineLevel="0" collapsed="false">
      <c r="A81" s="7" t="n">
        <v>77</v>
      </c>
      <c r="B81" s="8" t="s">
        <v>267</v>
      </c>
      <c r="C81" s="8" t="s">
        <v>284</v>
      </c>
      <c r="D81" s="8" t="s">
        <v>28</v>
      </c>
      <c r="E81" s="8" t="s">
        <v>285</v>
      </c>
      <c r="F81" s="9" t="s">
        <v>286</v>
      </c>
      <c r="G81" s="10" t="n">
        <v>21914232</v>
      </c>
      <c r="H81" s="7" t="str">
        <f aca="false">IF(OR(ISNUMBER(SEARCH("manual",F81)),ISNUMBER(SEARCH("usb",F81))),"Impressora local (USB)",IF(OR(E81="",ISNUMBER(SEARCH("verificar",E81))),"Verificar nº de série",IF(F81="","Sem IP cadastrado",IF(OR(ISNUMBER(SEARCH("verificar",G81)),ISNUMBER(SEARCH("pegar",G81))),"Verificar PIN",IF(G81="","PIN não informado","OK")))))</f>
        <v>OK</v>
      </c>
    </row>
    <row r="82" customFormat="false" ht="14.25" hidden="false" customHeight="false" outlineLevel="0" collapsed="false">
      <c r="A82" s="11" t="n">
        <v>78</v>
      </c>
      <c r="B82" s="12" t="s">
        <v>267</v>
      </c>
      <c r="C82" s="12" t="s">
        <v>287</v>
      </c>
      <c r="D82" s="12" t="s">
        <v>28</v>
      </c>
      <c r="E82" s="12" t="s">
        <v>288</v>
      </c>
      <c r="F82" s="13" t="s">
        <v>289</v>
      </c>
      <c r="G82" s="14" t="n">
        <v>10304792</v>
      </c>
      <c r="H82" s="11" t="str">
        <f aca="false">IF(OR(ISNUMBER(SEARCH("manual",F82)),ISNUMBER(SEARCH("usb",F82))),"Impressora local (USB)",IF(OR(E82="",ISNUMBER(SEARCH("verificar",E82))),"Verificar nº de série",IF(F82="","Sem IP cadastrado",IF(OR(ISNUMBER(SEARCH("verificar",G82)),ISNUMBER(SEARCH("pegar",G82))),"Verificar PIN",IF(G82="","PIN não informado","OK")))))</f>
        <v>OK</v>
      </c>
    </row>
    <row r="83" customFormat="false" ht="14.25" hidden="false" customHeight="false" outlineLevel="0" collapsed="false">
      <c r="A83" s="7" t="n">
        <v>79</v>
      </c>
      <c r="B83" s="8" t="s">
        <v>267</v>
      </c>
      <c r="C83" s="8" t="s">
        <v>290</v>
      </c>
      <c r="D83" s="8" t="s">
        <v>28</v>
      </c>
      <c r="E83" s="8" t="s">
        <v>291</v>
      </c>
      <c r="F83" s="9" t="s">
        <v>292</v>
      </c>
      <c r="G83" s="10" t="n">
        <v>99147736</v>
      </c>
      <c r="H83" s="7" t="str">
        <f aca="false">IF(OR(ISNUMBER(SEARCH("manual",F83)),ISNUMBER(SEARCH("usb",F83))),"Impressora local (USB)",IF(OR(E83="",ISNUMBER(SEARCH("verificar",E83))),"Verificar nº de série",IF(F83="","Sem IP cadastrado",IF(OR(ISNUMBER(SEARCH("verificar",G83)),ISNUMBER(SEARCH("pegar",G83))),"Verificar PIN",IF(G83="","PIN não informado","OK")))))</f>
        <v>OK</v>
      </c>
    </row>
    <row r="84" customFormat="false" ht="14.25" hidden="false" customHeight="false" outlineLevel="0" collapsed="false">
      <c r="A84" s="11" t="n">
        <v>80</v>
      </c>
      <c r="B84" s="12" t="s">
        <v>267</v>
      </c>
      <c r="C84" s="12" t="s">
        <v>293</v>
      </c>
      <c r="D84" s="12" t="s">
        <v>114</v>
      </c>
      <c r="E84" s="12" t="s">
        <v>294</v>
      </c>
      <c r="F84" s="13" t="s">
        <v>295</v>
      </c>
      <c r="G84" s="14"/>
      <c r="H84" s="11" t="str">
        <f aca="false">IF(OR(ISNUMBER(SEARCH("manual",F84)),ISNUMBER(SEARCH("usb",F84))),"Impressora local (USB)",IF(OR(E84="",ISNUMBER(SEARCH("verificar",E84))),"Verificar nº de série",IF(F84="","Sem IP cadastrado",IF(OR(ISNUMBER(SEARCH("verificar",G84)),ISNUMBER(SEARCH("pegar",G84))),"Verificar PIN",IF(G84="","PIN não informado","OK")))))</f>
        <v>PIN não informado</v>
      </c>
    </row>
    <row r="85" customFormat="false" ht="14.25" hidden="false" customHeight="false" outlineLevel="0" collapsed="false">
      <c r="A85" s="7" t="n">
        <v>81</v>
      </c>
      <c r="B85" s="8" t="s">
        <v>267</v>
      </c>
      <c r="C85" s="8" t="s">
        <v>296</v>
      </c>
      <c r="D85" s="8" t="s">
        <v>39</v>
      </c>
      <c r="E85" s="8" t="s">
        <v>297</v>
      </c>
      <c r="F85" s="9" t="s">
        <v>298</v>
      </c>
      <c r="G85" s="10"/>
      <c r="H85" s="7" t="str">
        <f aca="false">IF(OR(ISNUMBER(SEARCH("manual",F85)),ISNUMBER(SEARCH("usb",F85))),"Impressora local (USB)",IF(OR(E85="",ISNUMBER(SEARCH("verificar",E85))),"Verificar nº de série",IF(F85="","Sem IP cadastrado",IF(OR(ISNUMBER(SEARCH("verificar",G85)),ISNUMBER(SEARCH("pegar",G85))),"Verificar PIN",IF(G85="","PIN não informado","OK")))))</f>
        <v>PIN não informado</v>
      </c>
    </row>
    <row r="86" customFormat="false" ht="23.85" hidden="false" customHeight="false" outlineLevel="0" collapsed="false">
      <c r="A86" s="11" t="n">
        <v>82</v>
      </c>
      <c r="B86" s="12" t="s">
        <v>267</v>
      </c>
      <c r="C86" s="12" t="s">
        <v>299</v>
      </c>
      <c r="D86" s="12" t="s">
        <v>300</v>
      </c>
      <c r="E86" s="12" t="s">
        <v>301</v>
      </c>
      <c r="F86" s="13" t="s">
        <v>302</v>
      </c>
      <c r="G86" s="14"/>
      <c r="H86" s="11" t="str">
        <f aca="false">IF(OR(ISNUMBER(SEARCH("manual",F86)),ISNUMBER(SEARCH("usb",F86))),"Impressora local (USB)",IF(OR(E86="",ISNUMBER(SEARCH("verificar",E86))),"Verificar nº de série",IF(F86="","Sem IP cadastrado",IF(OR(ISNUMBER(SEARCH("verificar",G86)),ISNUMBER(SEARCH("pegar",G86))),"Verificar PIN",IF(G86="","PIN não informado","OK")))))</f>
        <v>PIN não informado</v>
      </c>
    </row>
    <row r="87" customFormat="false" ht="14.25" hidden="false" customHeight="false" outlineLevel="0" collapsed="false">
      <c r="A87" s="7" t="n">
        <v>83</v>
      </c>
      <c r="B87" s="8" t="s">
        <v>267</v>
      </c>
      <c r="C87" s="8" t="s">
        <v>303</v>
      </c>
      <c r="D87" s="8" t="s">
        <v>304</v>
      </c>
      <c r="E87" s="8" t="s">
        <v>305</v>
      </c>
      <c r="F87" s="9" t="s">
        <v>306</v>
      </c>
      <c r="G87" s="10"/>
      <c r="H87" s="7" t="str">
        <f aca="false">IF(OR(ISNUMBER(SEARCH("manual",F87)),ISNUMBER(SEARCH("usb",F87))),"Impressora local (USB)",IF(OR(E87="",ISNUMBER(SEARCH("verificar",E87))),"Verificar nº de série",IF(F87="","Sem IP cadastrado",IF(OR(ISNUMBER(SEARCH("verificar",G87)),ISNUMBER(SEARCH("pegar",G87))),"Verificar PIN",IF(G87="","PIN não informado","OK")))))</f>
        <v>PIN não informado</v>
      </c>
    </row>
    <row r="88" customFormat="false" ht="14.25" hidden="false" customHeight="false" outlineLevel="0" collapsed="false">
      <c r="A88" s="11" t="n">
        <v>84</v>
      </c>
      <c r="B88" s="12" t="s">
        <v>267</v>
      </c>
      <c r="C88" s="12" t="s">
        <v>307</v>
      </c>
      <c r="D88" s="12" t="s">
        <v>308</v>
      </c>
      <c r="E88" s="12"/>
      <c r="F88" s="13" t="s">
        <v>309</v>
      </c>
      <c r="G88" s="14" t="s">
        <v>310</v>
      </c>
      <c r="H88" s="11" t="str">
        <f aca="false">IF(OR(ISNUMBER(SEARCH("manual",F88)),ISNUMBER(SEARCH("usb",F88))),"Impressora local (USB)",IF(OR(E88="",ISNUMBER(SEARCH("verificar",E88))),"Verificar nº de série",IF(F88="","Sem IP cadastrado",IF(OR(ISNUMBER(SEARCH("verificar",G88)),ISNUMBER(SEARCH("pegar",G88))),"Verificar PIN",IF(G88="","PIN não informado","OK")))))</f>
        <v>Verificar nº de série</v>
      </c>
    </row>
    <row r="89" customFormat="false" ht="14.25" hidden="false" customHeight="false" outlineLevel="0" collapsed="false">
      <c r="A89" s="7" t="n">
        <v>85</v>
      </c>
      <c r="B89" s="8" t="s">
        <v>267</v>
      </c>
      <c r="C89" s="8" t="s">
        <v>311</v>
      </c>
      <c r="D89" s="8" t="s">
        <v>165</v>
      </c>
      <c r="E89" s="8" t="s">
        <v>312</v>
      </c>
      <c r="F89" s="9" t="s">
        <v>313</v>
      </c>
      <c r="G89" s="10"/>
      <c r="H89" s="7" t="str">
        <f aca="false">IF(OR(ISNUMBER(SEARCH("manual",F89)),ISNUMBER(SEARCH("usb",F89))),"Impressora local (USB)",IF(OR(E89="",ISNUMBER(SEARCH("verificar",E89))),"Verificar nº de série",IF(F89="","Sem IP cadastrado",IF(OR(ISNUMBER(SEARCH("verificar",G89)),ISNUMBER(SEARCH("pegar",G89))),"Verificar PIN",IF(G89="","PIN não informado","OK")))))</f>
        <v>PIN não informado</v>
      </c>
    </row>
    <row r="90" customFormat="false" ht="14.25" hidden="false" customHeight="false" outlineLevel="0" collapsed="false">
      <c r="A90" s="11" t="n">
        <v>86</v>
      </c>
      <c r="B90" s="12" t="s">
        <v>267</v>
      </c>
      <c r="C90" s="12" t="s">
        <v>314</v>
      </c>
      <c r="D90" s="12" t="s">
        <v>39</v>
      </c>
      <c r="E90" s="12" t="s">
        <v>315</v>
      </c>
      <c r="F90" s="13" t="s">
        <v>316</v>
      </c>
      <c r="G90" s="14"/>
      <c r="H90" s="11" t="str">
        <f aca="false">IF(OR(ISNUMBER(SEARCH("manual",F90)),ISNUMBER(SEARCH("usb",F90))),"Impressora local (USB)",IF(OR(E90="",ISNUMBER(SEARCH("verificar",E90))),"Verificar nº de série",IF(F90="","Sem IP cadastrado",IF(OR(ISNUMBER(SEARCH("verificar",G90)),ISNUMBER(SEARCH("pegar",G90))),"Verificar PIN",IF(G90="","PIN não informado","OK")))))</f>
        <v>Impressora local (USB)</v>
      </c>
    </row>
    <row r="91" customFormat="false" ht="14.25" hidden="false" customHeight="false" outlineLevel="0" collapsed="false">
      <c r="A91" s="7" t="n">
        <v>87</v>
      </c>
      <c r="B91" s="8" t="s">
        <v>267</v>
      </c>
      <c r="C91" s="8" t="s">
        <v>317</v>
      </c>
      <c r="D91" s="8" t="s">
        <v>318</v>
      </c>
      <c r="E91" s="8" t="s">
        <v>319</v>
      </c>
      <c r="F91" s="9" t="s">
        <v>316</v>
      </c>
      <c r="G91" s="10"/>
      <c r="H91" s="7" t="str">
        <f aca="false">IF(OR(ISNUMBER(SEARCH("manual",F91)),ISNUMBER(SEARCH("usb",F91))),"Impressora local (USB)",IF(OR(E91="",ISNUMBER(SEARCH("verificar",E91))),"Verificar nº de série",IF(F91="","Sem IP cadastrado",IF(OR(ISNUMBER(SEARCH("verificar",G91)),ISNUMBER(SEARCH("pegar",G91))),"Verificar PIN",IF(G91="","PIN não informado","OK")))))</f>
        <v>Impressora local (USB)</v>
      </c>
    </row>
    <row r="92" customFormat="false" ht="14.25" hidden="false" customHeight="false" outlineLevel="0" collapsed="false">
      <c r="A92" s="11" t="n">
        <v>88</v>
      </c>
      <c r="B92" s="12" t="s">
        <v>267</v>
      </c>
      <c r="C92" s="12" t="s">
        <v>320</v>
      </c>
      <c r="D92" s="12" t="s">
        <v>318</v>
      </c>
      <c r="E92" s="12" t="s">
        <v>321</v>
      </c>
      <c r="F92" s="13" t="s">
        <v>316</v>
      </c>
      <c r="G92" s="14"/>
      <c r="H92" s="11" t="str">
        <f aca="false">IF(OR(ISNUMBER(SEARCH("manual",F92)),ISNUMBER(SEARCH("usb",F92))),"Impressora local (USB)",IF(OR(E92="",ISNUMBER(SEARCH("verificar",E92))),"Verificar nº de série",IF(F92="","Sem IP cadastrado",IF(OR(ISNUMBER(SEARCH("verificar",G92)),ISNUMBER(SEARCH("pegar",G92))),"Verificar PIN",IF(G92="","PIN não informado","OK")))))</f>
        <v>Impressora local (USB)</v>
      </c>
    </row>
    <row r="93" customFormat="false" ht="14.25" hidden="false" customHeight="false" outlineLevel="0" collapsed="false">
      <c r="A93" s="7" t="n">
        <v>89</v>
      </c>
      <c r="B93" s="8" t="s">
        <v>267</v>
      </c>
      <c r="C93" s="8" t="s">
        <v>322</v>
      </c>
      <c r="D93" s="8" t="s">
        <v>323</v>
      </c>
      <c r="E93" s="8" t="s">
        <v>324</v>
      </c>
      <c r="F93" s="9" t="s">
        <v>325</v>
      </c>
      <c r="G93" s="10"/>
      <c r="H93" s="7" t="str">
        <f aca="false">IF(OR(ISNUMBER(SEARCH("manual",F93)),ISNUMBER(SEARCH("usb",F93))),"Impressora local (USB)",IF(OR(E93="",ISNUMBER(SEARCH("verificar",E93))),"Verificar nº de série",IF(F93="","Sem IP cadastrado",IF(OR(ISNUMBER(SEARCH("verificar",G93)),ISNUMBER(SEARCH("pegar",G93))),"Verificar PIN",IF(G93="","PIN não informado","OK")))))</f>
        <v>Impressora local (USB)</v>
      </c>
    </row>
    <row r="94" customFormat="false" ht="14.25" hidden="false" customHeight="false" outlineLevel="0" collapsed="false">
      <c r="A94" s="11" t="n">
        <v>90</v>
      </c>
      <c r="B94" s="12" t="s">
        <v>267</v>
      </c>
      <c r="C94" s="12" t="s">
        <v>326</v>
      </c>
      <c r="D94" s="12" t="s">
        <v>327</v>
      </c>
      <c r="E94" s="12" t="s">
        <v>328</v>
      </c>
      <c r="F94" s="13" t="s">
        <v>329</v>
      </c>
      <c r="G94" s="14"/>
      <c r="H94" s="11" t="str">
        <f aca="false">IF(OR(ISNUMBER(SEARCH("manual",F94)),ISNUMBER(SEARCH("usb",F94))),"Impressora local (USB)",IF(OR(E94="",ISNUMBER(SEARCH("verificar",E94))),"Verificar nº de série",IF(F94="","Sem IP cadastrado",IF(OR(ISNUMBER(SEARCH("verificar",G94)),ISNUMBER(SEARCH("pegar",G94))),"Verificar PIN",IF(G94="","PIN não informado","OK")))))</f>
        <v>PIN não informado</v>
      </c>
    </row>
    <row r="95" customFormat="false" ht="14.25" hidden="false" customHeight="false" outlineLevel="0" collapsed="false">
      <c r="A95" s="7" t="n">
        <v>91</v>
      </c>
      <c r="B95" s="8" t="s">
        <v>267</v>
      </c>
      <c r="C95" s="8" t="s">
        <v>330</v>
      </c>
      <c r="D95" s="8" t="s">
        <v>39</v>
      </c>
      <c r="E95" s="8" t="s">
        <v>331</v>
      </c>
      <c r="F95" s="9" t="s">
        <v>332</v>
      </c>
      <c r="G95" s="10"/>
      <c r="H95" s="7" t="str">
        <f aca="false">IF(OR(ISNUMBER(SEARCH("manual",F95)),ISNUMBER(SEARCH("usb",F95))),"Impressora local (USB)",IF(OR(E95="",ISNUMBER(SEARCH("verificar",E95))),"Verificar nº de série",IF(F95="","Sem IP cadastrado",IF(OR(ISNUMBER(SEARCH("verificar",G95)),ISNUMBER(SEARCH("pegar",G95))),"Verificar PIN",IF(G95="","PIN não informado","OK")))))</f>
        <v>PIN não informado</v>
      </c>
    </row>
    <row r="96" customFormat="false" ht="14.25" hidden="false" customHeight="false" outlineLevel="0" collapsed="false">
      <c r="A96" s="11" t="n">
        <v>92</v>
      </c>
      <c r="B96" s="12" t="s">
        <v>267</v>
      </c>
      <c r="C96" s="12" t="s">
        <v>333</v>
      </c>
      <c r="D96" s="12" t="s">
        <v>334</v>
      </c>
      <c r="E96" s="12" t="s">
        <v>335</v>
      </c>
      <c r="F96" s="13" t="s">
        <v>336</v>
      </c>
      <c r="G96" s="14" t="n">
        <v>60057273</v>
      </c>
      <c r="H96" s="11" t="str">
        <f aca="false">IF(OR(ISNUMBER(SEARCH("manual",F96)),ISNUMBER(SEARCH("usb",F96))),"Impressora local (USB)",IF(OR(E96="",ISNUMBER(SEARCH("verificar",E96))),"Verificar nº de série",IF(F96="","Sem IP cadastrado",IF(OR(ISNUMBER(SEARCH("verificar",G96)),ISNUMBER(SEARCH("pegar",G96))),"Verificar PIN",IF(G96="","PIN não informado","OK")))))</f>
        <v>OK</v>
      </c>
    </row>
    <row r="97" customFormat="false" ht="14.25" hidden="false" customHeight="false" outlineLevel="0" collapsed="false">
      <c r="A97" s="7" t="n">
        <v>93</v>
      </c>
      <c r="B97" s="8" t="s">
        <v>267</v>
      </c>
      <c r="C97" s="8" t="s">
        <v>337</v>
      </c>
      <c r="D97" s="8" t="s">
        <v>114</v>
      </c>
      <c r="E97" s="8" t="s">
        <v>338</v>
      </c>
      <c r="F97" s="9" t="s">
        <v>339</v>
      </c>
      <c r="G97" s="10"/>
      <c r="H97" s="7" t="str">
        <f aca="false">IF(OR(ISNUMBER(SEARCH("manual",F97)),ISNUMBER(SEARCH("usb",F97))),"Impressora local (USB)",IF(OR(E97="",ISNUMBER(SEARCH("verificar",E97))),"Verificar nº de série",IF(F97="","Sem IP cadastrado",IF(OR(ISNUMBER(SEARCH("verificar",G97)),ISNUMBER(SEARCH("pegar",G97))),"Verificar PIN",IF(G97="","PIN não informado","OK")))))</f>
        <v>PIN não informado</v>
      </c>
    </row>
    <row r="98" customFormat="false" ht="14.25" hidden="false" customHeight="false" outlineLevel="0" collapsed="false">
      <c r="A98" s="11" t="n">
        <v>94</v>
      </c>
      <c r="B98" s="12" t="s">
        <v>267</v>
      </c>
      <c r="C98" s="12" t="s">
        <v>337</v>
      </c>
      <c r="D98" s="12" t="s">
        <v>114</v>
      </c>
      <c r="E98" s="12" t="s">
        <v>340</v>
      </c>
      <c r="F98" s="13" t="s">
        <v>341</v>
      </c>
      <c r="G98" s="14"/>
      <c r="H98" s="11" t="str">
        <f aca="false">IF(OR(ISNUMBER(SEARCH("manual",F98)),ISNUMBER(SEARCH("usb",F98))),"Impressora local (USB)",IF(OR(E98="",ISNUMBER(SEARCH("verificar",E98))),"Verificar nº de série",IF(F98="","Sem IP cadastrado",IF(OR(ISNUMBER(SEARCH("verificar",G98)),ISNUMBER(SEARCH("pegar",G98))),"Verificar PIN",IF(G98="","PIN não informado","OK")))))</f>
        <v>PIN não informado</v>
      </c>
    </row>
    <row r="99" customFormat="false" ht="14.25" hidden="false" customHeight="false" outlineLevel="0" collapsed="false">
      <c r="A99" s="7" t="n">
        <v>95</v>
      </c>
      <c r="B99" s="8" t="s">
        <v>267</v>
      </c>
      <c r="C99" s="8" t="s">
        <v>342</v>
      </c>
      <c r="D99" s="8" t="s">
        <v>165</v>
      </c>
      <c r="E99" s="8" t="s">
        <v>328</v>
      </c>
      <c r="F99" s="9" t="s">
        <v>329</v>
      </c>
      <c r="G99" s="10"/>
      <c r="H99" s="7" t="str">
        <f aca="false">IF(OR(ISNUMBER(SEARCH("manual",F99)),ISNUMBER(SEARCH("usb",F99))),"Impressora local (USB)",IF(OR(E99="",ISNUMBER(SEARCH("verificar",E99))),"Verificar nº de série",IF(F99="","Sem IP cadastrado",IF(OR(ISNUMBER(SEARCH("verificar",G99)),ISNUMBER(SEARCH("pegar",G99))),"Verificar PIN",IF(G99="","PIN não informado","OK")))))</f>
        <v>PIN não informado</v>
      </c>
    </row>
    <row r="100" customFormat="false" ht="14.25" hidden="false" customHeight="false" outlineLevel="0" collapsed="false">
      <c r="A100" s="11" t="n">
        <v>96</v>
      </c>
      <c r="B100" s="12" t="s">
        <v>267</v>
      </c>
      <c r="C100" s="12" t="s">
        <v>343</v>
      </c>
      <c r="D100" s="12" t="s">
        <v>344</v>
      </c>
      <c r="E100" s="12" t="s">
        <v>345</v>
      </c>
      <c r="F100" s="13" t="s">
        <v>346</v>
      </c>
      <c r="G100" s="14"/>
      <c r="H100" s="11" t="str">
        <f aca="false">IF(OR(ISNUMBER(SEARCH("manual",F100)),ISNUMBER(SEARCH("usb",F100))),"Impressora local (USB)",IF(OR(E100="",ISNUMBER(SEARCH("verificar",E100))),"Verificar nº de série",IF(F100="","Sem IP cadastrado",IF(OR(ISNUMBER(SEARCH("verificar",G100)),ISNUMBER(SEARCH("pegar",G100))),"Verificar PIN",IF(G100="","PIN não informado","OK")))))</f>
        <v>PIN não informado</v>
      </c>
    </row>
    <row r="101" customFormat="false" ht="14.25" hidden="false" customHeight="false" outlineLevel="0" collapsed="false">
      <c r="A101" s="7" t="n">
        <v>97</v>
      </c>
      <c r="B101" s="8" t="s">
        <v>267</v>
      </c>
      <c r="C101" s="8" t="s">
        <v>347</v>
      </c>
      <c r="D101" s="8" t="s">
        <v>98</v>
      </c>
      <c r="E101" s="8" t="s">
        <v>348</v>
      </c>
      <c r="F101" s="9" t="s">
        <v>349</v>
      </c>
      <c r="G101" s="10"/>
      <c r="H101" s="7" t="str">
        <f aca="false">IF(OR(ISNUMBER(SEARCH("manual",F101)),ISNUMBER(SEARCH("usb",F101))),"Impressora local (USB)",IF(OR(E101="",ISNUMBER(SEARCH("verificar",E101))),"Verificar nº de série",IF(F101="","Sem IP cadastrado",IF(OR(ISNUMBER(SEARCH("verificar",G101)),ISNUMBER(SEARCH("pegar",G101))),"Verificar PIN",IF(G101="","PIN não informado","OK")))))</f>
        <v>PIN não informado</v>
      </c>
    </row>
    <row r="102" customFormat="false" ht="14.25" hidden="false" customHeight="false" outlineLevel="0" collapsed="false">
      <c r="A102" s="11" t="n">
        <v>98</v>
      </c>
      <c r="B102" s="12" t="s">
        <v>267</v>
      </c>
      <c r="C102" s="12" t="s">
        <v>350</v>
      </c>
      <c r="D102" s="12" t="s">
        <v>351</v>
      </c>
      <c r="E102" s="12" t="s">
        <v>352</v>
      </c>
      <c r="F102" s="13" t="s">
        <v>353</v>
      </c>
      <c r="G102" s="14"/>
      <c r="H102" s="11" t="str">
        <f aca="false">IF(OR(ISNUMBER(SEARCH("manual",F102)),ISNUMBER(SEARCH("usb",F102))),"Impressora local (USB)",IF(OR(E102="",ISNUMBER(SEARCH("verificar",E102))),"Verificar nº de série",IF(F102="","Sem IP cadastrado",IF(OR(ISNUMBER(SEARCH("verificar",G102)),ISNUMBER(SEARCH("pegar",G102))),"Verificar PIN",IF(G102="","PIN não informado","OK")))))</f>
        <v>PIN não informado</v>
      </c>
    </row>
    <row r="103" customFormat="false" ht="14.25" hidden="false" customHeight="false" outlineLevel="0" collapsed="false">
      <c r="A103" s="7" t="n">
        <v>99</v>
      </c>
      <c r="B103" s="8" t="s">
        <v>267</v>
      </c>
      <c r="C103" s="8" t="s">
        <v>354</v>
      </c>
      <c r="D103" s="8" t="s">
        <v>114</v>
      </c>
      <c r="E103" s="8" t="s">
        <v>355</v>
      </c>
      <c r="F103" s="9" t="s">
        <v>356</v>
      </c>
      <c r="G103" s="10"/>
      <c r="H103" s="7" t="str">
        <f aca="false">IF(OR(ISNUMBER(SEARCH("manual",F103)),ISNUMBER(SEARCH("usb",F103))),"Impressora local (USB)",IF(OR(E103="",ISNUMBER(SEARCH("verificar",E103))),"Verificar nº de série",IF(F103="","Sem IP cadastrado",IF(OR(ISNUMBER(SEARCH("verificar",G103)),ISNUMBER(SEARCH("pegar",G103))),"Verificar PIN",IF(G103="","PIN não informado","OK")))))</f>
        <v>PIN não informado</v>
      </c>
    </row>
    <row r="104" customFormat="false" ht="14.25" hidden="false" customHeight="false" outlineLevel="0" collapsed="false">
      <c r="A104" s="11" t="n">
        <v>100</v>
      </c>
      <c r="B104" s="12" t="s">
        <v>267</v>
      </c>
      <c r="C104" s="12" t="s">
        <v>357</v>
      </c>
      <c r="D104" s="12" t="s">
        <v>358</v>
      </c>
      <c r="E104" s="12" t="s">
        <v>359</v>
      </c>
      <c r="F104" s="13" t="s">
        <v>360</v>
      </c>
      <c r="G104" s="14" t="n">
        <v>57464858</v>
      </c>
      <c r="H104" s="11" t="str">
        <f aca="false">IF(OR(ISNUMBER(SEARCH("manual",F104)),ISNUMBER(SEARCH("usb",F104))),"Impressora local (USB)",IF(OR(E104="",ISNUMBER(SEARCH("verificar",E104))),"Verificar nº de série",IF(F104="","Sem IP cadastrado",IF(OR(ISNUMBER(SEARCH("verificar",G104)),ISNUMBER(SEARCH("pegar",G104))),"Verificar PIN",IF(G104="","PIN não informado","OK")))))</f>
        <v>OK</v>
      </c>
    </row>
    <row r="105" customFormat="false" ht="14.25" hidden="false" customHeight="false" outlineLevel="0" collapsed="false">
      <c r="A105" s="7" t="n">
        <v>101</v>
      </c>
      <c r="B105" s="8" t="s">
        <v>267</v>
      </c>
      <c r="C105" s="8" t="s">
        <v>361</v>
      </c>
      <c r="D105" s="8" t="s">
        <v>25</v>
      </c>
      <c r="E105" s="8" t="s">
        <v>362</v>
      </c>
      <c r="F105" s="9" t="s">
        <v>363</v>
      </c>
      <c r="G105" s="10"/>
      <c r="H105" s="7" t="str">
        <f aca="false">IF(OR(ISNUMBER(SEARCH("manual",F105)),ISNUMBER(SEARCH("usb",F105))),"Impressora local (USB)",IF(OR(E105="",ISNUMBER(SEARCH("verificar",E105))),"Verificar nº de série",IF(F105="","Sem IP cadastrado",IF(OR(ISNUMBER(SEARCH("verificar",G105)),ISNUMBER(SEARCH("pegar",G105))),"Verificar PIN",IF(G105="","PIN não informado","OK")))))</f>
        <v>PIN não informado</v>
      </c>
    </row>
    <row r="106" customFormat="false" ht="14.25" hidden="false" customHeight="false" outlineLevel="0" collapsed="false">
      <c r="A106" s="11" t="n">
        <v>102</v>
      </c>
      <c r="B106" s="12" t="s">
        <v>267</v>
      </c>
      <c r="C106" s="12" t="s">
        <v>364</v>
      </c>
      <c r="D106" s="12" t="s">
        <v>114</v>
      </c>
      <c r="E106" s="12" t="s">
        <v>365</v>
      </c>
      <c r="F106" s="13" t="s">
        <v>366</v>
      </c>
      <c r="G106" s="14"/>
      <c r="H106" s="11" t="str">
        <f aca="false">IF(OR(ISNUMBER(SEARCH("manual",F106)),ISNUMBER(SEARCH("usb",F106))),"Impressora local (USB)",IF(OR(E106="",ISNUMBER(SEARCH("verificar",E106))),"Verificar nº de série",IF(F106="","Sem IP cadastrado",IF(OR(ISNUMBER(SEARCH("verificar",G106)),ISNUMBER(SEARCH("pegar",G106))),"Verificar PIN",IF(G106="","PIN não informado","OK")))))</f>
        <v>PIN não informado</v>
      </c>
    </row>
    <row r="107" customFormat="false" ht="14.25" hidden="false" customHeight="false" outlineLevel="0" collapsed="false">
      <c r="A107" s="7" t="n">
        <v>103</v>
      </c>
      <c r="B107" s="8" t="s">
        <v>267</v>
      </c>
      <c r="C107" s="8" t="s">
        <v>367</v>
      </c>
      <c r="D107" s="8" t="s">
        <v>165</v>
      </c>
      <c r="E107" s="8" t="s">
        <v>368</v>
      </c>
      <c r="F107" s="9" t="s">
        <v>369</v>
      </c>
      <c r="G107" s="10"/>
      <c r="H107" s="7" t="str">
        <f aca="false">IF(OR(ISNUMBER(SEARCH("manual",F107)),ISNUMBER(SEARCH("usb",F107))),"Impressora local (USB)",IF(OR(E107="",ISNUMBER(SEARCH("verificar",E107))),"Verificar nº de série",IF(F107="","Sem IP cadastrado",IF(OR(ISNUMBER(SEARCH("verificar",G107)),ISNUMBER(SEARCH("pegar",G107))),"Verificar PIN",IF(G107="","PIN não informado","OK")))))</f>
        <v>PIN não informado</v>
      </c>
    </row>
    <row r="108" customFormat="false" ht="14.25" hidden="false" customHeight="false" outlineLevel="0" collapsed="false">
      <c r="A108" s="11" t="n">
        <v>104</v>
      </c>
      <c r="B108" s="12" t="s">
        <v>267</v>
      </c>
      <c r="C108" s="12" t="s">
        <v>370</v>
      </c>
      <c r="D108" s="12" t="s">
        <v>114</v>
      </c>
      <c r="E108" s="12" t="s">
        <v>340</v>
      </c>
      <c r="F108" s="13" t="s">
        <v>341</v>
      </c>
      <c r="G108" s="14"/>
      <c r="H108" s="11" t="str">
        <f aca="false">IF(OR(ISNUMBER(SEARCH("manual",F108)),ISNUMBER(SEARCH("usb",F108))),"Impressora local (USB)",IF(OR(E108="",ISNUMBER(SEARCH("verificar",E108))),"Verificar nº de série",IF(F108="","Sem IP cadastrado",IF(OR(ISNUMBER(SEARCH("verificar",G108)),ISNUMBER(SEARCH("pegar",G108))),"Verificar PIN",IF(G108="","PIN não informado","OK")))))</f>
        <v>PIN não informado</v>
      </c>
    </row>
    <row r="109" customFormat="false" ht="14.25" hidden="false" customHeight="false" outlineLevel="0" collapsed="false">
      <c r="A109" s="7" t="n">
        <v>105</v>
      </c>
      <c r="B109" s="8" t="s">
        <v>267</v>
      </c>
      <c r="C109" s="8" t="s">
        <v>371</v>
      </c>
      <c r="D109" s="8" t="s">
        <v>372</v>
      </c>
      <c r="E109" s="8" t="s">
        <v>373</v>
      </c>
      <c r="F109" s="9" t="s">
        <v>374</v>
      </c>
      <c r="G109" s="10" t="n">
        <v>70519226</v>
      </c>
      <c r="H109" s="7" t="str">
        <f aca="false">IF(OR(ISNUMBER(SEARCH("manual",F109)),ISNUMBER(SEARCH("usb",F109))),"Impressora local (USB)",IF(OR(E109="",ISNUMBER(SEARCH("verificar",E109))),"Verificar nº de série",IF(F109="","Sem IP cadastrado",IF(OR(ISNUMBER(SEARCH("verificar",G109)),ISNUMBER(SEARCH("pegar",G109))),"Verificar PIN",IF(G109="","PIN não informado","OK")))))</f>
        <v>OK</v>
      </c>
    </row>
    <row r="110" customFormat="false" ht="14.25" hidden="false" customHeight="false" outlineLevel="0" collapsed="false">
      <c r="A110" s="11" t="n">
        <v>106</v>
      </c>
      <c r="B110" s="12" t="s">
        <v>267</v>
      </c>
      <c r="C110" s="12" t="s">
        <v>375</v>
      </c>
      <c r="D110" s="12" t="s">
        <v>39</v>
      </c>
      <c r="E110" s="12" t="s">
        <v>376</v>
      </c>
      <c r="F110" s="13" t="s">
        <v>377</v>
      </c>
      <c r="G110" s="14"/>
      <c r="H110" s="11" t="str">
        <f aca="false">IF(OR(ISNUMBER(SEARCH("manual",F110)),ISNUMBER(SEARCH("usb",F110))),"Impressora local (USB)",IF(OR(E110="",ISNUMBER(SEARCH("verificar",E110))),"Verificar nº de série",IF(F110="","Sem IP cadastrado",IF(OR(ISNUMBER(SEARCH("verificar",G110)),ISNUMBER(SEARCH("pegar",G110))),"Verificar PIN",IF(G110="","PIN não informado","OK")))))</f>
        <v>PIN não informado</v>
      </c>
    </row>
    <row r="111" customFormat="false" ht="14.25" hidden="false" customHeight="false" outlineLevel="0" collapsed="false">
      <c r="A111" s="7" t="n">
        <v>107</v>
      </c>
      <c r="B111" s="8" t="s">
        <v>267</v>
      </c>
      <c r="C111" s="8" t="s">
        <v>378</v>
      </c>
      <c r="D111" s="8" t="s">
        <v>351</v>
      </c>
      <c r="E111" s="8" t="s">
        <v>379</v>
      </c>
      <c r="F111" s="9" t="s">
        <v>380</v>
      </c>
      <c r="G111" s="10"/>
      <c r="H111" s="7" t="str">
        <f aca="false">IF(OR(ISNUMBER(SEARCH("manual",F111)),ISNUMBER(SEARCH("usb",F111))),"Impressora local (USB)",IF(OR(E111="",ISNUMBER(SEARCH("verificar",E111))),"Verificar nº de série",IF(F111="","Sem IP cadastrado",IF(OR(ISNUMBER(SEARCH("verificar",G111)),ISNUMBER(SEARCH("pegar",G111))),"Verificar PIN",IF(G111="","PIN não informado","OK")))))</f>
        <v>PIN não informado</v>
      </c>
    </row>
    <row r="112" customFormat="false" ht="14.25" hidden="false" customHeight="false" outlineLevel="0" collapsed="false">
      <c r="A112" s="11" t="n">
        <v>108</v>
      </c>
      <c r="B112" s="12" t="s">
        <v>267</v>
      </c>
      <c r="C112" s="12" t="s">
        <v>381</v>
      </c>
      <c r="D112" s="12" t="s">
        <v>382</v>
      </c>
      <c r="E112" s="12" t="s">
        <v>383</v>
      </c>
      <c r="F112" s="13" t="s">
        <v>159</v>
      </c>
      <c r="G112" s="14"/>
      <c r="H112" s="11" t="str">
        <f aca="false">IF(OR(ISNUMBER(SEARCH("manual",F112)),ISNUMBER(SEARCH("usb",F112))),"Impressora local (USB)",IF(OR(E112="",ISNUMBER(SEARCH("verificar",E112))),"Verificar nº de série",IF(F112="","Sem IP cadastrado",IF(OR(ISNUMBER(SEARCH("verificar",G112)),ISNUMBER(SEARCH("pegar",G112))),"Verificar PIN",IF(G112="","PIN não informado","OK")))))</f>
        <v>Impressora local (USB)</v>
      </c>
    </row>
    <row r="113" customFormat="false" ht="14.25" hidden="false" customHeight="false" outlineLevel="0" collapsed="false">
      <c r="A113" s="7" t="n">
        <v>109</v>
      </c>
      <c r="B113" s="8" t="s">
        <v>267</v>
      </c>
      <c r="C113" s="8" t="s">
        <v>384</v>
      </c>
      <c r="D113" s="8" t="s">
        <v>385</v>
      </c>
      <c r="E113" s="8" t="s">
        <v>386</v>
      </c>
      <c r="F113" s="9" t="s">
        <v>387</v>
      </c>
      <c r="G113" s="10"/>
      <c r="H113" s="7" t="str">
        <f aca="false">IF(OR(ISNUMBER(SEARCH("manual",F113)),ISNUMBER(SEARCH("usb",F113))),"Impressora local (USB)",IF(OR(E113="",ISNUMBER(SEARCH("verificar",E113))),"Verificar nº de série",IF(F113="","Sem IP cadastrado",IF(OR(ISNUMBER(SEARCH("verificar",G113)),ISNUMBER(SEARCH("pegar",G113))),"Verificar PIN",IF(G113="","PIN não informado","OK")))))</f>
        <v>PIN não informado</v>
      </c>
    </row>
    <row r="114" customFormat="false" ht="14.25" hidden="false" customHeight="false" outlineLevel="0" collapsed="false">
      <c r="A114" s="11" t="n">
        <v>110</v>
      </c>
      <c r="B114" s="12" t="s">
        <v>267</v>
      </c>
      <c r="C114" s="12" t="s">
        <v>388</v>
      </c>
      <c r="D114" s="12" t="s">
        <v>165</v>
      </c>
      <c r="E114" s="12" t="s">
        <v>389</v>
      </c>
      <c r="F114" s="13" t="s">
        <v>390</v>
      </c>
      <c r="G114" s="14"/>
      <c r="H114" s="11" t="str">
        <f aca="false">IF(OR(ISNUMBER(SEARCH("manual",F114)),ISNUMBER(SEARCH("usb",F114))),"Impressora local (USB)",IF(OR(E114="",ISNUMBER(SEARCH("verificar",E114))),"Verificar nº de série",IF(F114="","Sem IP cadastrado",IF(OR(ISNUMBER(SEARCH("verificar",G114)),ISNUMBER(SEARCH("pegar",G114))),"Verificar PIN",IF(G114="","PIN não informado","OK")))))</f>
        <v>PIN não informado</v>
      </c>
    </row>
    <row r="115" customFormat="false" ht="14.25" hidden="false" customHeight="false" outlineLevel="0" collapsed="false">
      <c r="A115" s="7" t="n">
        <v>111</v>
      </c>
      <c r="B115" s="8" t="s">
        <v>267</v>
      </c>
      <c r="C115" s="8" t="s">
        <v>391</v>
      </c>
      <c r="D115" s="8" t="s">
        <v>392</v>
      </c>
      <c r="E115" s="8" t="s">
        <v>393</v>
      </c>
      <c r="F115" s="9" t="s">
        <v>394</v>
      </c>
      <c r="G115" s="10"/>
      <c r="H115" s="7" t="str">
        <f aca="false">IF(OR(ISNUMBER(SEARCH("manual",F115)),ISNUMBER(SEARCH("usb",F115))),"Impressora local (USB)",IF(OR(E115="",ISNUMBER(SEARCH("verificar",E115))),"Verificar nº de série",IF(F115="","Sem IP cadastrado",IF(OR(ISNUMBER(SEARCH("verificar",G115)),ISNUMBER(SEARCH("pegar",G115))),"Verificar PIN",IF(G115="","PIN não informado","OK")))))</f>
        <v>PIN não informado</v>
      </c>
    </row>
    <row r="116" customFormat="false" ht="14.25" hidden="false" customHeight="false" outlineLevel="0" collapsed="false">
      <c r="A116" s="11" t="n">
        <v>112</v>
      </c>
      <c r="B116" s="12" t="s">
        <v>267</v>
      </c>
      <c r="C116" s="12" t="s">
        <v>395</v>
      </c>
      <c r="D116" s="12" t="s">
        <v>67</v>
      </c>
      <c r="E116" s="12" t="s">
        <v>396</v>
      </c>
      <c r="F116" s="13" t="s">
        <v>397</v>
      </c>
      <c r="G116" s="14"/>
      <c r="H116" s="11" t="str">
        <f aca="false">IF(OR(ISNUMBER(SEARCH("manual",F116)),ISNUMBER(SEARCH("usb",F116))),"Impressora local (USB)",IF(OR(E116="",ISNUMBER(SEARCH("verificar",E116))),"Verificar nº de série",IF(F116="","Sem IP cadastrado",IF(OR(ISNUMBER(SEARCH("verificar",G116)),ISNUMBER(SEARCH("pegar",G116))),"Verificar PIN",IF(G116="","PIN não informado","OK")))))</f>
        <v>PIN não informado</v>
      </c>
    </row>
    <row r="117" customFormat="false" ht="14.25" hidden="false" customHeight="false" outlineLevel="0" collapsed="false">
      <c r="A117" s="7" t="n">
        <v>113</v>
      </c>
      <c r="B117" s="8" t="s">
        <v>267</v>
      </c>
      <c r="C117" s="8" t="s">
        <v>398</v>
      </c>
      <c r="D117" s="8" t="s">
        <v>67</v>
      </c>
      <c r="E117" s="8" t="s">
        <v>396</v>
      </c>
      <c r="F117" s="9" t="s">
        <v>397</v>
      </c>
      <c r="G117" s="10"/>
      <c r="H117" s="7" t="str">
        <f aca="false">IF(OR(ISNUMBER(SEARCH("manual",F117)),ISNUMBER(SEARCH("usb",F117))),"Impressora local (USB)",IF(OR(E117="",ISNUMBER(SEARCH("verificar",E117))),"Verificar nº de série",IF(F117="","Sem IP cadastrado",IF(OR(ISNUMBER(SEARCH("verificar",G117)),ISNUMBER(SEARCH("pegar",G117))),"Verificar PIN",IF(G117="","PIN não informado","OK")))))</f>
        <v>PIN não informado</v>
      </c>
    </row>
    <row r="118" customFormat="false" ht="14.25" hidden="false" customHeight="false" outlineLevel="0" collapsed="false">
      <c r="A118" s="11" t="n">
        <v>114</v>
      </c>
      <c r="B118" s="12" t="s">
        <v>267</v>
      </c>
      <c r="C118" s="12" t="s">
        <v>399</v>
      </c>
      <c r="D118" s="12" t="s">
        <v>98</v>
      </c>
      <c r="E118" s="12" t="s">
        <v>400</v>
      </c>
      <c r="F118" s="13" t="s">
        <v>401</v>
      </c>
      <c r="G118" s="14"/>
      <c r="H118" s="11" t="str">
        <f aca="false">IF(OR(ISNUMBER(SEARCH("manual",F118)),ISNUMBER(SEARCH("usb",F118))),"Impressora local (USB)",IF(OR(E118="",ISNUMBER(SEARCH("verificar",E118))),"Verificar nº de série",IF(F118="","Sem IP cadastrado",IF(OR(ISNUMBER(SEARCH("verificar",G118)),ISNUMBER(SEARCH("pegar",G118))),"Verificar PIN",IF(G118="","PIN não informado","OK")))))</f>
        <v>PIN não informado</v>
      </c>
    </row>
    <row r="119" customFormat="false" ht="14.25" hidden="false" customHeight="false" outlineLevel="0" collapsed="false">
      <c r="A119" s="7" t="n">
        <v>115</v>
      </c>
      <c r="B119" s="8" t="s">
        <v>267</v>
      </c>
      <c r="C119" s="8" t="s">
        <v>402</v>
      </c>
      <c r="D119" s="8" t="s">
        <v>403</v>
      </c>
      <c r="E119" s="8" t="s">
        <v>404</v>
      </c>
      <c r="F119" s="9" t="s">
        <v>405</v>
      </c>
      <c r="G119" s="10"/>
      <c r="H119" s="7" t="str">
        <f aca="false">IF(OR(ISNUMBER(SEARCH("manual",F119)),ISNUMBER(SEARCH("usb",F119))),"Impressora local (USB)",IF(OR(E119="",ISNUMBER(SEARCH("verificar",E119))),"Verificar nº de série",IF(F119="","Sem IP cadastrado",IF(OR(ISNUMBER(SEARCH("verificar",G119)),ISNUMBER(SEARCH("pegar",G119))),"Verificar PIN",IF(G119="","PIN não informado","OK")))))</f>
        <v>PIN não informado</v>
      </c>
    </row>
    <row r="120" customFormat="false" ht="14.25" hidden="false" customHeight="false" outlineLevel="0" collapsed="false">
      <c r="A120" s="11" t="n">
        <v>116</v>
      </c>
      <c r="B120" s="12" t="s">
        <v>267</v>
      </c>
      <c r="C120" s="12" t="s">
        <v>406</v>
      </c>
      <c r="D120" s="12" t="s">
        <v>351</v>
      </c>
      <c r="E120" s="12" t="s">
        <v>407</v>
      </c>
      <c r="F120" s="13" t="s">
        <v>408</v>
      </c>
      <c r="G120" s="14"/>
      <c r="H120" s="11" t="str">
        <f aca="false">IF(OR(ISNUMBER(SEARCH("manual",F120)),ISNUMBER(SEARCH("usb",F120))),"Impressora local (USB)",IF(OR(E120="",ISNUMBER(SEARCH("verificar",E120))),"Verificar nº de série",IF(F120="","Sem IP cadastrado",IF(OR(ISNUMBER(SEARCH("verificar",G120)),ISNUMBER(SEARCH("pegar",G120))),"Verificar PIN",IF(G120="","PIN não informado","OK")))))</f>
        <v>PIN não informado</v>
      </c>
    </row>
    <row r="121" customFormat="false" ht="14.25" hidden="false" customHeight="false" outlineLevel="0" collapsed="false">
      <c r="A121" s="7" t="n">
        <v>117</v>
      </c>
      <c r="B121" s="8" t="s">
        <v>267</v>
      </c>
      <c r="C121" s="8" t="s">
        <v>409</v>
      </c>
      <c r="D121" s="8" t="s">
        <v>165</v>
      </c>
      <c r="E121" s="8" t="s">
        <v>410</v>
      </c>
      <c r="F121" s="9" t="s">
        <v>411</v>
      </c>
      <c r="G121" s="10"/>
      <c r="H121" s="7" t="str">
        <f aca="false">IF(OR(ISNUMBER(SEARCH("manual",F121)),ISNUMBER(SEARCH("usb",F121))),"Impressora local (USB)",IF(OR(E121="",ISNUMBER(SEARCH("verificar",E121))),"Verificar nº de série",IF(F121="","Sem IP cadastrado",IF(OR(ISNUMBER(SEARCH("verificar",G121)),ISNUMBER(SEARCH("pegar",G121))),"Verificar PIN",IF(G121="","PIN não informado","OK")))))</f>
        <v>PIN não informado</v>
      </c>
    </row>
    <row r="122" customFormat="false" ht="14.25" hidden="false" customHeight="false" outlineLevel="0" collapsed="false">
      <c r="A122" s="11" t="n">
        <v>118</v>
      </c>
      <c r="B122" s="12" t="s">
        <v>267</v>
      </c>
      <c r="C122" s="12" t="s">
        <v>412</v>
      </c>
      <c r="D122" s="12" t="s">
        <v>413</v>
      </c>
      <c r="E122" s="12" t="s">
        <v>414</v>
      </c>
      <c r="F122" s="13" t="s">
        <v>316</v>
      </c>
      <c r="G122" s="14"/>
      <c r="H122" s="11" t="str">
        <f aca="false">IF(OR(ISNUMBER(SEARCH("manual",F122)),ISNUMBER(SEARCH("usb",F122))),"Impressora local (USB)",IF(OR(E122="",ISNUMBER(SEARCH("verificar",E122))),"Verificar nº de série",IF(F122="","Sem IP cadastrado",IF(OR(ISNUMBER(SEARCH("verificar",G122)),ISNUMBER(SEARCH("pegar",G122))),"Verificar PIN",IF(G122="","PIN não informado","OK")))))</f>
        <v>Impressora local (USB)</v>
      </c>
    </row>
    <row r="123" customFormat="false" ht="14.25" hidden="false" customHeight="false" outlineLevel="0" collapsed="false">
      <c r="A123" s="7" t="n">
        <v>119</v>
      </c>
      <c r="B123" s="8" t="s">
        <v>267</v>
      </c>
      <c r="C123" s="8" t="s">
        <v>415</v>
      </c>
      <c r="D123" s="8" t="s">
        <v>165</v>
      </c>
      <c r="E123" s="8" t="s">
        <v>416</v>
      </c>
      <c r="F123" s="9" t="s">
        <v>417</v>
      </c>
      <c r="G123" s="10"/>
      <c r="H123" s="7" t="str">
        <f aca="false">IF(OR(ISNUMBER(SEARCH("manual",F123)),ISNUMBER(SEARCH("usb",F123))),"Impressora local (USB)",IF(OR(E123="",ISNUMBER(SEARCH("verificar",E123))),"Verificar nº de série",IF(F123="","Sem IP cadastrado",IF(OR(ISNUMBER(SEARCH("verificar",G123)),ISNUMBER(SEARCH("pegar",G123))),"Verificar PIN",IF(G123="","PIN não informado","OK")))))</f>
        <v>PIN não informado</v>
      </c>
    </row>
    <row r="124" customFormat="false" ht="23.85" hidden="false" customHeight="false" outlineLevel="0" collapsed="false">
      <c r="A124" s="11" t="n">
        <v>120</v>
      </c>
      <c r="B124" s="12" t="s">
        <v>267</v>
      </c>
      <c r="C124" s="12" t="s">
        <v>418</v>
      </c>
      <c r="D124" s="12" t="s">
        <v>419</v>
      </c>
      <c r="E124" s="12" t="s">
        <v>420</v>
      </c>
      <c r="F124" s="13" t="s">
        <v>421</v>
      </c>
      <c r="G124" s="14"/>
      <c r="H124" s="11" t="str">
        <f aca="false">IF(OR(ISNUMBER(SEARCH("manual",F124)),ISNUMBER(SEARCH("usb",F124))),"Impressora local (USB)",IF(OR(E124="",ISNUMBER(SEARCH("verificar",E124))),"Verificar nº de série",IF(F124="","Sem IP cadastrado",IF(OR(ISNUMBER(SEARCH("verificar",G124)),ISNUMBER(SEARCH("pegar",G124))),"Verificar PIN",IF(G124="","PIN não informado","OK")))))</f>
        <v>PIN não informado</v>
      </c>
    </row>
    <row r="125" customFormat="false" ht="14.25" hidden="false" customHeight="false" outlineLevel="0" collapsed="false">
      <c r="A125" s="7" t="n">
        <v>121</v>
      </c>
      <c r="B125" s="8" t="s">
        <v>267</v>
      </c>
      <c r="C125" s="8" t="s">
        <v>422</v>
      </c>
      <c r="D125" s="8" t="s">
        <v>423</v>
      </c>
      <c r="E125" s="8" t="s">
        <v>424</v>
      </c>
      <c r="F125" s="9" t="s">
        <v>425</v>
      </c>
      <c r="G125" s="10"/>
      <c r="H125" s="7" t="str">
        <f aca="false">IF(OR(ISNUMBER(SEARCH("manual",F125)),ISNUMBER(SEARCH("usb",F125))),"Impressora local (USB)",IF(OR(E125="",ISNUMBER(SEARCH("verificar",E125))),"Verificar nº de série",IF(F125="","Sem IP cadastrado",IF(OR(ISNUMBER(SEARCH("verificar",G125)),ISNUMBER(SEARCH("pegar",G125))),"Verificar PIN",IF(G125="","PIN não informado","OK")))))</f>
        <v>PIN não informado</v>
      </c>
    </row>
    <row r="126" customFormat="false" ht="14.25" hidden="false" customHeight="false" outlineLevel="0" collapsed="false">
      <c r="A126" s="11" t="n">
        <v>122</v>
      </c>
      <c r="B126" s="12" t="s">
        <v>267</v>
      </c>
      <c r="C126" s="12" t="s">
        <v>426</v>
      </c>
      <c r="D126" s="12" t="s">
        <v>427</v>
      </c>
      <c r="E126" s="12" t="s">
        <v>428</v>
      </c>
      <c r="F126" s="13" t="s">
        <v>429</v>
      </c>
      <c r="G126" s="14" t="n">
        <v>68680112</v>
      </c>
      <c r="H126" s="11" t="str">
        <f aca="false">IF(OR(ISNUMBER(SEARCH("manual",F126)),ISNUMBER(SEARCH("usb",F126))),"Impressora local (USB)",IF(OR(E126="",ISNUMBER(SEARCH("verificar",E126))),"Verificar nº de série",IF(F126="","Sem IP cadastrado",IF(OR(ISNUMBER(SEARCH("verificar",G126)),ISNUMBER(SEARCH("pegar",G126))),"Verificar PIN",IF(G126="","PIN não informado","OK")))))</f>
        <v>OK</v>
      </c>
    </row>
    <row r="127" customFormat="false" ht="14.25" hidden="false" customHeight="false" outlineLevel="0" collapsed="false">
      <c r="A127" s="7" t="n">
        <v>123</v>
      </c>
      <c r="B127" s="8" t="s">
        <v>430</v>
      </c>
      <c r="C127" s="8" t="s">
        <v>430</v>
      </c>
      <c r="D127" s="8" t="s">
        <v>358</v>
      </c>
      <c r="E127" s="8" t="s">
        <v>431</v>
      </c>
      <c r="F127" s="9" t="s">
        <v>432</v>
      </c>
      <c r="G127" s="10" t="n">
        <v>45024317</v>
      </c>
      <c r="H127" s="7" t="str">
        <f aca="false">IF(OR(ISNUMBER(SEARCH("manual",F127)),ISNUMBER(SEARCH("usb",F127))),"Impressora local (USB)",IF(OR(E127="",ISNUMBER(SEARCH("verificar",E127))),"Verificar nº de série",IF(F127="","Sem IP cadastrado",IF(OR(ISNUMBER(SEARCH("verificar",G127)),ISNUMBER(SEARCH("pegar",G127))),"Verificar PIN",IF(G127="","PIN não informado","OK")))))</f>
        <v>OK</v>
      </c>
      <c r="I127" s="1"/>
      <c r="J127" s="1"/>
    </row>
    <row r="128" customFormat="false" ht="14.25" hidden="false" customHeight="false" outlineLevel="0" collapsed="false">
      <c r="A128" s="11" t="n">
        <v>124</v>
      </c>
      <c r="B128" s="12" t="s">
        <v>430</v>
      </c>
      <c r="C128" s="12" t="s">
        <v>433</v>
      </c>
      <c r="D128" s="12" t="s">
        <v>17</v>
      </c>
      <c r="E128" s="12" t="s">
        <v>17</v>
      </c>
      <c r="F128" s="13" t="s">
        <v>434</v>
      </c>
      <c r="G128" s="14"/>
      <c r="H128" s="11" t="str">
        <f aca="false">IF(OR(ISNUMBER(SEARCH("manual",F128)),ISNUMBER(SEARCH("usb",F128))),"Impressora local (USB)",IF(OR(E128="",ISNUMBER(SEARCH("verificar",E128))),"Verificar nº de série",IF(F128="","Sem IP cadastrado",IF(OR(ISNUMBER(SEARCH("verificar",G128)),ISNUMBER(SEARCH("pegar",G128))),"Verificar PIN",IF(G128="","PIN não informado","OK")))))</f>
        <v>Verificar nº de série</v>
      </c>
      <c r="I128" s="1"/>
      <c r="J128" s="1"/>
    </row>
    <row r="129" customFormat="false" ht="14.25" hidden="false" customHeight="false" outlineLevel="0" collapsed="false">
      <c r="A129" s="7" t="n">
        <v>125</v>
      </c>
      <c r="B129" s="8" t="s">
        <v>430</v>
      </c>
      <c r="C129" s="8" t="s">
        <v>435</v>
      </c>
      <c r="D129" s="8" t="s">
        <v>25</v>
      </c>
      <c r="E129" s="8" t="s">
        <v>436</v>
      </c>
      <c r="F129" s="9" t="s">
        <v>437</v>
      </c>
      <c r="G129" s="10"/>
      <c r="H129" s="7" t="str">
        <f aca="false">IF(OR(ISNUMBER(SEARCH("manual",F129)),ISNUMBER(SEARCH("usb",F129))),"Impressora local (USB)",IF(OR(E129="",ISNUMBER(SEARCH("verificar",E129))),"Verificar nº de série",IF(F129="","Sem IP cadastrado",IF(OR(ISNUMBER(SEARCH("verificar",G129)),ISNUMBER(SEARCH("pegar",G129))),"Verificar PIN",IF(G129="","PIN não informado","OK")))))</f>
        <v>PIN não informado</v>
      </c>
      <c r="I129" s="1"/>
      <c r="J129" s="1"/>
    </row>
    <row r="130" customFormat="false" ht="14.25" hidden="false" customHeight="false" outlineLevel="0" collapsed="false">
      <c r="A130" s="11" t="n">
        <v>126</v>
      </c>
      <c r="B130" s="12" t="s">
        <v>430</v>
      </c>
      <c r="C130" s="12" t="s">
        <v>438</v>
      </c>
      <c r="D130" s="12" t="s">
        <v>28</v>
      </c>
      <c r="E130" s="12" t="s">
        <v>439</v>
      </c>
      <c r="F130" s="13" t="s">
        <v>440</v>
      </c>
      <c r="G130" s="14" t="n">
        <v>65528320</v>
      </c>
      <c r="H130" s="11" t="str">
        <f aca="false">IF(OR(ISNUMBER(SEARCH("manual",F130)),ISNUMBER(SEARCH("usb",F130))),"Impressora local (USB)",IF(OR(E130="",ISNUMBER(SEARCH("verificar",E130))),"Verificar nº de série",IF(F130="","Sem IP cadastrado",IF(OR(ISNUMBER(SEARCH("verificar",G130)),ISNUMBER(SEARCH("pegar",G130))),"Verificar PIN",IF(G130="","PIN não informado","OK")))))</f>
        <v>OK</v>
      </c>
      <c r="I130" s="1"/>
      <c r="J130" s="1"/>
    </row>
    <row r="131" customFormat="false" ht="14.25" hidden="false" customHeight="false" outlineLevel="0" collapsed="false">
      <c r="A131" s="7" t="n">
        <v>127</v>
      </c>
      <c r="B131" s="8" t="s">
        <v>430</v>
      </c>
      <c r="C131" s="8" t="s">
        <v>441</v>
      </c>
      <c r="D131" s="8" t="s">
        <v>28</v>
      </c>
      <c r="E131" s="8" t="s">
        <v>442</v>
      </c>
      <c r="F131" s="9" t="s">
        <v>443</v>
      </c>
      <c r="G131" s="10" t="n">
        <v>65537410</v>
      </c>
      <c r="H131" s="7" t="str">
        <f aca="false">IF(OR(ISNUMBER(SEARCH("manual",F131)),ISNUMBER(SEARCH("usb",F131))),"Impressora local (USB)",IF(OR(E131="",ISNUMBER(SEARCH("verificar",E131))),"Verificar nº de série",IF(F131="","Sem IP cadastrado",IF(OR(ISNUMBER(SEARCH("verificar",G131)),ISNUMBER(SEARCH("pegar",G131))),"Verificar PIN",IF(G131="","PIN não informado","OK")))))</f>
        <v>OK</v>
      </c>
      <c r="I131" s="1"/>
      <c r="J131" s="1"/>
    </row>
    <row r="132" customFormat="false" ht="14.25" hidden="false" customHeight="false" outlineLevel="0" collapsed="false">
      <c r="A132" s="11" t="n">
        <v>128</v>
      </c>
      <c r="B132" s="12" t="s">
        <v>444</v>
      </c>
      <c r="C132" s="12" t="s">
        <v>445</v>
      </c>
      <c r="D132" s="12" t="s">
        <v>17</v>
      </c>
      <c r="E132" s="12" t="s">
        <v>17</v>
      </c>
      <c r="F132" s="13" t="s">
        <v>446</v>
      </c>
      <c r="G132" s="14"/>
      <c r="H132" s="11" t="str">
        <f aca="false">IF(OR(ISNUMBER(SEARCH("manual",F132)),ISNUMBER(SEARCH("usb",F132))),"Impressora local (USB)",IF(OR(E132="",ISNUMBER(SEARCH("verificar",E132))),"Verificar nº de série",IF(F132="","Sem IP cadastrado",IF(OR(ISNUMBER(SEARCH("verificar",G132)),ISNUMBER(SEARCH("pegar",G132))),"Verificar PIN",IF(G132="","PIN não informado","OK")))))</f>
        <v>Verificar nº de série</v>
      </c>
      <c r="I132" s="1"/>
      <c r="J132" s="1"/>
    </row>
    <row r="133" customFormat="false" ht="14.25" hidden="false" customHeight="false" outlineLevel="0" collapsed="false">
      <c r="A133" s="7" t="n">
        <v>129</v>
      </c>
      <c r="B133" s="8" t="s">
        <v>444</v>
      </c>
      <c r="C133" s="8" t="s">
        <v>447</v>
      </c>
      <c r="D133" s="8" t="s">
        <v>25</v>
      </c>
      <c r="E133" s="8" t="s">
        <v>448</v>
      </c>
      <c r="F133" s="9" t="s">
        <v>449</v>
      </c>
      <c r="G133" s="10"/>
      <c r="H133" s="7" t="str">
        <f aca="false">IF(OR(ISNUMBER(SEARCH("manual",F133)),ISNUMBER(SEARCH("usb",F133))),"Impressora local (USB)",IF(OR(E133="",ISNUMBER(SEARCH("verificar",E133))),"Verificar nº de série",IF(F133="","Sem IP cadastrado",IF(OR(ISNUMBER(SEARCH("verificar",G133)),ISNUMBER(SEARCH("pegar",G133))),"Verificar PIN",IF(G133="","PIN não informado","OK")))))</f>
        <v>PIN não informado</v>
      </c>
      <c r="I133" s="1"/>
      <c r="J133" s="1"/>
    </row>
    <row r="134" customFormat="false" ht="14.25" hidden="false" customHeight="false" outlineLevel="0" collapsed="false">
      <c r="A134" s="11" t="n">
        <v>130</v>
      </c>
      <c r="B134" s="12" t="s">
        <v>444</v>
      </c>
      <c r="C134" s="12" t="s">
        <v>450</v>
      </c>
      <c r="D134" s="12" t="s">
        <v>28</v>
      </c>
      <c r="E134" s="12" t="s">
        <v>451</v>
      </c>
      <c r="F134" s="13" t="s">
        <v>452</v>
      </c>
      <c r="G134" s="14" t="n">
        <v>65606294</v>
      </c>
      <c r="H134" s="11" t="str">
        <f aca="false">IF(OR(ISNUMBER(SEARCH("manual",F134)),ISNUMBER(SEARCH("usb",F134))),"Impressora local (USB)",IF(OR(E134="",ISNUMBER(SEARCH("verificar",E134))),"Verificar nº de série",IF(F134="","Sem IP cadastrado",IF(OR(ISNUMBER(SEARCH("verificar",G134)),ISNUMBER(SEARCH("pegar",G134))),"Verificar PIN",IF(G134="","PIN não informado","OK")))))</f>
        <v>OK</v>
      </c>
      <c r="I134" s="1"/>
      <c r="J134" s="1"/>
    </row>
    <row r="135" customFormat="false" ht="14.25" hidden="false" customHeight="false" outlineLevel="0" collapsed="false">
      <c r="A135" s="7" t="n">
        <v>131</v>
      </c>
      <c r="B135" s="8" t="s">
        <v>444</v>
      </c>
      <c r="C135" s="8" t="s">
        <v>453</v>
      </c>
      <c r="D135" s="8" t="s">
        <v>28</v>
      </c>
      <c r="E135" s="8" t="s">
        <v>454</v>
      </c>
      <c r="F135" s="9" t="s">
        <v>455</v>
      </c>
      <c r="G135" s="10" t="n">
        <v>65533066</v>
      </c>
      <c r="H135" s="7" t="str">
        <f aca="false">IF(OR(ISNUMBER(SEARCH("manual",F135)),ISNUMBER(SEARCH("usb",F135))),"Impressora local (USB)",IF(OR(E135="",ISNUMBER(SEARCH("verificar",E135))),"Verificar nº de série",IF(F135="","Sem IP cadastrado",IF(OR(ISNUMBER(SEARCH("verificar",G135)),ISNUMBER(SEARCH("pegar",G135))),"Verificar PIN",IF(G135="","PIN não informado","OK")))))</f>
        <v>OK</v>
      </c>
      <c r="I135" s="1"/>
      <c r="J135" s="1"/>
    </row>
    <row r="136" customFormat="false" ht="14.25" hidden="false" customHeight="true" outlineLevel="0" collapsed="false">
      <c r="A136" s="11" t="n">
        <v>132</v>
      </c>
      <c r="B136" s="12" t="s">
        <v>456</v>
      </c>
      <c r="C136" s="12" t="s">
        <v>456</v>
      </c>
      <c r="D136" s="12" t="s">
        <v>77</v>
      </c>
      <c r="E136" s="12" t="s">
        <v>457</v>
      </c>
      <c r="F136" s="13" t="s">
        <v>159</v>
      </c>
      <c r="G136" s="14"/>
      <c r="H136" s="11" t="str">
        <f aca="false">IF(OR(ISNUMBER(SEARCH("manual",F136)),ISNUMBER(SEARCH("usb",F136))),"Impressora local (USB)",IF(OR(E136="",ISNUMBER(SEARCH("verificar",E136))),"Verificar nº de série",IF(F136="","Sem IP cadastrado",IF(OR(ISNUMBER(SEARCH("verificar",G136)),ISNUMBER(SEARCH("pegar",G136))),"Verificar PIN",IF(G136="","PIN não informado","OK")))))</f>
        <v>Impressora local (USB)</v>
      </c>
      <c r="I136" s="1"/>
      <c r="J136" s="1"/>
    </row>
    <row r="137" customFormat="false" ht="14.25" hidden="false" customHeight="false" outlineLevel="0" collapsed="false">
      <c r="A137" s="15" t="n">
        <v>133</v>
      </c>
      <c r="B137" s="16" t="s">
        <v>458</v>
      </c>
      <c r="C137" s="16" t="s">
        <v>459</v>
      </c>
      <c r="D137" s="16" t="s">
        <v>77</v>
      </c>
      <c r="E137" s="17" t="s">
        <v>460</v>
      </c>
      <c r="F137" s="18" t="s">
        <v>461</v>
      </c>
      <c r="G137" s="18"/>
      <c r="H137" s="19" t="str">
        <f aca="false">IF(OR(ISNUMBER(SEARCH("manual",F137)),ISNUMBER(SEARCH("usb",F137))),"Impressora local (USB)",IF(OR(E137="",ISNUMBER(SEARCH("verificar",E137))),"Verificar nº de série",IF(F137="","Sem IP cadastrado",IF(OR(ISNUMBER(SEARCH("verificar",G137)),ISNUMBER(SEARCH("pegar",G137))),"Verificar PIN",IF(G137="","PIN não informado","OK")))))</f>
        <v>PIN não informado</v>
      </c>
      <c r="I137" s="1"/>
      <c r="J137" s="1"/>
    </row>
    <row r="138" customFormat="false" ht="14.25" hidden="false" customHeight="false" outlineLevel="0" collapsed="false">
      <c r="A138" s="19" t="s">
        <v>462</v>
      </c>
      <c r="B138" s="20" t="s">
        <v>463</v>
      </c>
      <c r="C138" s="20" t="s">
        <v>464</v>
      </c>
      <c r="D138" s="20" t="s">
        <v>465</v>
      </c>
      <c r="E138" s="20" t="s">
        <v>466</v>
      </c>
      <c r="F138" s="21"/>
      <c r="G138" s="22"/>
      <c r="H138" s="19" t="str">
        <f aca="false">IF(OR(ISNUMBER(SEARCH("manual",F138)),ISNUMBER(SEARCH("usb",F138))),"Impressora local (USB)",IF(OR(E138="",ISNUMBER(SEARCH("verificar",E138))),"Verificar nº de série",IF(F138="","Sem IP cadastrado",IF(OR(ISNUMBER(SEARCH("verificar",G138)),ISNUMBER(SEARCH("pegar",G138))),"Verificar PIN",IF(G138="","PIN não informado","OK")))))</f>
        <v>Sem IP cadastrado</v>
      </c>
      <c r="I138" s="1"/>
      <c r="J138" s="1"/>
    </row>
    <row r="139" customFormat="false" ht="14.25" hidden="false" customHeight="false" outlineLevel="0" collapsed="false">
      <c r="A139" s="7" t="n">
        <v>135</v>
      </c>
      <c r="B139" s="8"/>
      <c r="C139" s="8"/>
      <c r="D139" s="8"/>
      <c r="E139" s="8"/>
      <c r="F139" s="9"/>
      <c r="G139" s="10"/>
      <c r="H139" s="19" t="str">
        <f aca="false">IF(OR(ISNUMBER(SEARCH("manual",F139)),ISNUMBER(SEARCH("usb",F139))),"Impressora local (USB)",IF(OR(E139="",ISNUMBER(SEARCH("verificar",E139))),"Verificar nº de série",IF(F139="","Sem IP cadastrado",IF(OR(ISNUMBER(SEARCH("verificar",G139)),ISNUMBER(SEARCH("pegar",G139))),"Verificar PIN",IF(G139="","PIN não informado","OK")))))</f>
        <v>Verificar nº de série</v>
      </c>
    </row>
    <row r="140" customFormat="false" ht="14.25" hidden="false" customHeight="false" outlineLevel="0" collapsed="false">
      <c r="A140" s="11" t="n">
        <v>136</v>
      </c>
      <c r="B140" s="12"/>
      <c r="C140" s="12"/>
      <c r="D140" s="12"/>
      <c r="E140" s="12"/>
      <c r="F140" s="13"/>
      <c r="G140" s="14"/>
      <c r="H140" s="19" t="str">
        <f aca="false">IF(OR(ISNUMBER(SEARCH("manual",F140)),ISNUMBER(SEARCH("usb",F140))),"Impressora local (USB)",IF(OR(E140="",ISNUMBER(SEARCH("verificar",E140))),"Verificar nº de série",IF(F140="","Sem IP cadastrado",IF(OR(ISNUMBER(SEARCH("verificar",G140)),ISNUMBER(SEARCH("pegar",G140))),"Verificar PIN",IF(G140="","PIN não informado","OK")))))</f>
        <v>Verificar nº de série</v>
      </c>
    </row>
    <row r="141" customFormat="false" ht="14.25" hidden="false" customHeight="false" outlineLevel="0" collapsed="false">
      <c r="A141" s="7" t="n">
        <v>137</v>
      </c>
      <c r="B141" s="8"/>
      <c r="C141" s="8"/>
      <c r="D141" s="8"/>
      <c r="E141" s="8"/>
      <c r="F141" s="9"/>
      <c r="G141" s="10"/>
      <c r="H141" s="19" t="str">
        <f aca="false">IF(OR(ISNUMBER(SEARCH("manual",F141)),ISNUMBER(SEARCH("usb",F141))),"Impressora local (USB)",IF(OR(E141="",ISNUMBER(SEARCH("verificar",E141))),"Verificar nº de série",IF(F141="","Sem IP cadastrado",IF(OR(ISNUMBER(SEARCH("verificar",G141)),ISNUMBER(SEARCH("pegar",G141))),"Verificar PIN",IF(G141="","PIN não informado","OK")))))</f>
        <v>Verificar nº de série</v>
      </c>
    </row>
    <row r="142" customFormat="false" ht="14.25" hidden="false" customHeight="false" outlineLevel="0" collapsed="false">
      <c r="A142" s="11" t="n">
        <v>138</v>
      </c>
      <c r="B142" s="12"/>
      <c r="C142" s="12"/>
      <c r="D142" s="12"/>
      <c r="E142" s="12"/>
      <c r="F142" s="13"/>
      <c r="G142" s="14"/>
      <c r="H142" s="19" t="str">
        <f aca="false">IF(OR(ISNUMBER(SEARCH("manual",F142)),ISNUMBER(SEARCH("usb",F142))),"Impressora local (USB)",IF(OR(E142="",ISNUMBER(SEARCH("verificar",E142))),"Verificar nº de série",IF(F142="","Sem IP cadastrado",IF(OR(ISNUMBER(SEARCH("verificar",G142)),ISNUMBER(SEARCH("pegar",G142))),"Verificar PIN",IF(G142="","PIN não informado","OK")))))</f>
        <v>Verificar nº de série</v>
      </c>
    </row>
    <row r="143" customFormat="false" ht="14.25" hidden="false" customHeight="false" outlineLevel="0" collapsed="false">
      <c r="A143" s="7" t="n">
        <v>139</v>
      </c>
      <c r="B143" s="8"/>
      <c r="C143" s="8"/>
      <c r="D143" s="8"/>
      <c r="E143" s="8"/>
      <c r="F143" s="9"/>
      <c r="G143" s="10"/>
      <c r="H143" s="19" t="str">
        <f aca="false">IF(OR(ISNUMBER(SEARCH("manual",F143)),ISNUMBER(SEARCH("usb",F143))),"Impressora local (USB)",IF(OR(E143="",ISNUMBER(SEARCH("verificar",E143))),"Verificar nº de série",IF(F143="","Sem IP cadastrado",IF(OR(ISNUMBER(SEARCH("verificar",G143)),ISNUMBER(SEARCH("pegar",G143))),"Verificar PIN",IF(G143="","PIN não informado","OK")))))</f>
        <v>Verificar nº de série</v>
      </c>
    </row>
    <row r="144" customFormat="false" ht="14.25" hidden="false" customHeight="false" outlineLevel="0" collapsed="false">
      <c r="A144" s="11" t="n">
        <v>140</v>
      </c>
      <c r="B144" s="12"/>
      <c r="C144" s="12"/>
      <c r="D144" s="12"/>
      <c r="E144" s="12"/>
      <c r="F144" s="13"/>
      <c r="G144" s="14"/>
      <c r="H144" s="19" t="str">
        <f aca="false">IF(OR(ISNUMBER(SEARCH("manual",F144)),ISNUMBER(SEARCH("usb",F144))),"Impressora local (USB)",IF(OR(E144="",ISNUMBER(SEARCH("verificar",E144))),"Verificar nº de série",IF(F144="","Sem IP cadastrado",IF(OR(ISNUMBER(SEARCH("verificar",G144)),ISNUMBER(SEARCH("pegar",G144))),"Verificar PIN",IF(G144="","PIN não informado","OK")))))</f>
        <v>Verificar nº de série</v>
      </c>
    </row>
    <row r="145" customFormat="false" ht="14.25" hidden="false" customHeight="false" outlineLevel="0" collapsed="false">
      <c r="A145" s="7"/>
      <c r="B145" s="8"/>
      <c r="C145" s="8"/>
      <c r="D145" s="8"/>
      <c r="E145" s="8"/>
      <c r="F145" s="9"/>
      <c r="G145" s="10"/>
      <c r="H145" s="19" t="str">
        <f aca="false">IF(OR(ISNUMBER(SEARCH("manual",F145)),ISNUMBER(SEARCH("usb",F145))),"Impressora local (USB)",IF(OR(E145="",ISNUMBER(SEARCH("verificar",E145))),"Verificar nº de série",IF(F145="","Sem IP cadastrado",IF(OR(ISNUMBER(SEARCH("verificar",G145)),ISNUMBER(SEARCH("pegar",G145))),"Verificar PIN",IF(G145="","PIN não informado","OK")))))</f>
        <v>Verificar nº de série</v>
      </c>
    </row>
    <row r="146" customFormat="false" ht="14.25" hidden="false" customHeight="false" outlineLevel="0" collapsed="false">
      <c r="A146" s="11"/>
      <c r="B146" s="12"/>
      <c r="C146" s="12"/>
      <c r="D146" s="12"/>
      <c r="E146" s="12"/>
      <c r="F146" s="13"/>
      <c r="G146" s="14"/>
      <c r="H146" s="19" t="str">
        <f aca="false">IF(OR(ISNUMBER(SEARCH("manual",F146)),ISNUMBER(SEARCH("usb",F146))),"Impressora local (USB)",IF(OR(E146="",ISNUMBER(SEARCH("verificar",E146))),"Verificar nº de série",IF(F146="","Sem IP cadastrado",IF(OR(ISNUMBER(SEARCH("verificar",G146)),ISNUMBER(SEARCH("pegar",G146))),"Verificar PIN",IF(G146="","PIN não informado","OK")))))</f>
        <v>Verificar nº de série</v>
      </c>
    </row>
    <row r="147" customFormat="false" ht="14.25" hidden="false" customHeight="false" outlineLevel="0" collapsed="false">
      <c r="A147" s="7"/>
      <c r="B147" s="8"/>
      <c r="C147" s="8"/>
      <c r="D147" s="8"/>
      <c r="E147" s="8"/>
      <c r="F147" s="9"/>
      <c r="G147" s="10"/>
      <c r="H147" s="19" t="str">
        <f aca="false">IF(OR(ISNUMBER(SEARCH("manual",F147)),ISNUMBER(SEARCH("usb",F147))),"Impressora local (USB)",IF(OR(E147="",ISNUMBER(SEARCH("verificar",E147))),"Verificar nº de série",IF(F147="","Sem IP cadastrado",IF(OR(ISNUMBER(SEARCH("verificar",G147)),ISNUMBER(SEARCH("pegar",G147))),"Verificar PIN",IF(G147="","PIN não informado","OK")))))</f>
        <v>Verificar nº de série</v>
      </c>
    </row>
    <row r="148" customFormat="false" ht="14.25" hidden="false" customHeight="false" outlineLevel="0" collapsed="false">
      <c r="A148" s="11"/>
      <c r="B148" s="12"/>
      <c r="C148" s="12"/>
      <c r="D148" s="12"/>
      <c r="E148" s="12"/>
      <c r="F148" s="13"/>
      <c r="G148" s="14"/>
      <c r="H148" s="19" t="str">
        <f aca="false">IF(OR(ISNUMBER(SEARCH("manual",F148)),ISNUMBER(SEARCH("usb",F148))),"Impressora local (USB)",IF(OR(E148="",ISNUMBER(SEARCH("verificar",E148))),"Verificar nº de série",IF(F148="","Sem IP cadastrado",IF(OR(ISNUMBER(SEARCH("verificar",G148)),ISNUMBER(SEARCH("pegar",G148))),"Verificar PIN",IF(G148="","PIN não informado","OK")))))</f>
        <v>Verificar nº de série</v>
      </c>
    </row>
    <row r="149" customFormat="false" ht="14.25" hidden="false" customHeight="false" outlineLevel="0" collapsed="false">
      <c r="A149" s="7"/>
      <c r="B149" s="8"/>
      <c r="C149" s="8"/>
      <c r="D149" s="8"/>
      <c r="E149" s="8"/>
      <c r="F149" s="9"/>
      <c r="G149" s="10"/>
      <c r="H149" s="19" t="str">
        <f aca="false">IF(OR(ISNUMBER(SEARCH("manual",F149)),ISNUMBER(SEARCH("usb",F149))),"Impressora local (USB)",IF(OR(E149="",ISNUMBER(SEARCH("verificar",E149))),"Verificar nº de série",IF(F149="","Sem IP cadastrado",IF(OR(ISNUMBER(SEARCH("verificar",G149)),ISNUMBER(SEARCH("pegar",G149))),"Verificar PIN",IF(G149="","PIN não informado","OK")))))</f>
        <v>Verificar nº de série</v>
      </c>
    </row>
    <row r="150" customFormat="false" ht="14.25" hidden="false" customHeight="false" outlineLevel="0" collapsed="false">
      <c r="A150" s="11"/>
      <c r="B150" s="12"/>
      <c r="C150" s="12"/>
      <c r="D150" s="12"/>
      <c r="E150" s="12"/>
      <c r="F150" s="13"/>
      <c r="G150" s="14"/>
      <c r="H150" s="19" t="str">
        <f aca="false">IF(OR(ISNUMBER(SEARCH("manual",F150)),ISNUMBER(SEARCH("usb",F150))),"Impressora local (USB)",IF(OR(E150="",ISNUMBER(SEARCH("verificar",E150))),"Verificar nº de série",IF(F150="","Sem IP cadastrado",IF(OR(ISNUMBER(SEARCH("verificar",G150)),ISNUMBER(SEARCH("pegar",G150))),"Verificar PIN",IF(G150="","PIN não informado","OK")))))</f>
        <v>Verificar nº de série</v>
      </c>
    </row>
    <row r="151" customFormat="false" ht="14.25" hidden="false" customHeight="false" outlineLevel="0" collapsed="false">
      <c r="A151" s="7"/>
      <c r="B151" s="8"/>
      <c r="C151" s="8"/>
      <c r="D151" s="8"/>
      <c r="E151" s="8"/>
      <c r="F151" s="9"/>
      <c r="G151" s="10"/>
      <c r="H151" s="19" t="str">
        <f aca="false">IF(OR(ISNUMBER(SEARCH("manual",F151)),ISNUMBER(SEARCH("usb",F151))),"Impressora local (USB)",IF(OR(E151="",ISNUMBER(SEARCH("verificar",E151))),"Verificar nº de série",IF(F151="","Sem IP cadastrado",IF(OR(ISNUMBER(SEARCH("verificar",G151)),ISNUMBER(SEARCH("pegar",G151))),"Verificar PIN",IF(G151="","PIN não informado","OK")))))</f>
        <v>Verificar nº de série</v>
      </c>
    </row>
    <row r="152" customFormat="false" ht="14.25" hidden="false" customHeight="false" outlineLevel="0" collapsed="false">
      <c r="A152" s="11"/>
      <c r="B152" s="12"/>
      <c r="C152" s="12"/>
      <c r="D152" s="12"/>
      <c r="E152" s="12"/>
      <c r="F152" s="13"/>
      <c r="G152" s="14"/>
      <c r="H152" s="19" t="str">
        <f aca="false">IF(OR(ISNUMBER(SEARCH("manual",F152)),ISNUMBER(SEARCH("usb",F152))),"Impressora local (USB)",IF(OR(E152="",ISNUMBER(SEARCH("verificar",E152))),"Verificar nº de série",IF(F152="","Sem IP cadastrado",IF(OR(ISNUMBER(SEARCH("verificar",G152)),ISNUMBER(SEARCH("pegar",G152))),"Verificar PIN",IF(G152="","PIN não informado","OK")))))</f>
        <v>Verificar nº de série</v>
      </c>
    </row>
    <row r="153" customFormat="false" ht="14.25" hidden="false" customHeight="false" outlineLevel="0" collapsed="false">
      <c r="A153" s="7"/>
      <c r="B153" s="8"/>
      <c r="C153" s="8"/>
      <c r="D153" s="8"/>
      <c r="E153" s="8"/>
      <c r="F153" s="9"/>
      <c r="G153" s="10"/>
      <c r="H153" s="19" t="str">
        <f aca="false">IF(OR(ISNUMBER(SEARCH("manual",F153)),ISNUMBER(SEARCH("usb",F153))),"Impressora local (USB)",IF(OR(E153="",ISNUMBER(SEARCH("verificar",E153))),"Verificar nº de série",IF(F153="","Sem IP cadastrado",IF(OR(ISNUMBER(SEARCH("verificar",G153)),ISNUMBER(SEARCH("pegar",G153))),"Verificar PIN",IF(G153="","PIN não informado","OK")))))</f>
        <v>Verificar nº de série</v>
      </c>
    </row>
    <row r="154" customFormat="false" ht="14.25" hidden="false" customHeight="false" outlineLevel="0" collapsed="false">
      <c r="A154" s="11"/>
      <c r="B154" s="12"/>
      <c r="C154" s="12"/>
      <c r="D154" s="12"/>
      <c r="E154" s="12"/>
      <c r="F154" s="13"/>
      <c r="G154" s="14"/>
      <c r="H154" s="19" t="str">
        <f aca="false">IF(OR(ISNUMBER(SEARCH("manual",F154)),ISNUMBER(SEARCH("usb",F154))),"Impressora local (USB)",IF(OR(E154="",ISNUMBER(SEARCH("verificar",E154))),"Verificar nº de série",IF(F154="","Sem IP cadastrado",IF(OR(ISNUMBER(SEARCH("verificar",G154)),ISNUMBER(SEARCH("pegar",G154))),"Verificar PIN",IF(G154="","PIN não informado","OK")))))</f>
        <v>Verificar nº de série</v>
      </c>
    </row>
    <row r="155" customFormat="false" ht="14.25" hidden="false" customHeight="false" outlineLevel="0" collapsed="false">
      <c r="A155" s="7"/>
      <c r="B155" s="8"/>
      <c r="C155" s="8"/>
      <c r="D155" s="8"/>
      <c r="E155" s="8"/>
      <c r="F155" s="9"/>
      <c r="G155" s="10"/>
      <c r="H155" s="19" t="str">
        <f aca="false">IF(OR(ISNUMBER(SEARCH("manual",F155)),ISNUMBER(SEARCH("usb",F155))),"Impressora local (USB)",IF(OR(E155="",ISNUMBER(SEARCH("verificar",E155))),"Verificar nº de série",IF(F155="","Sem IP cadastrado",IF(OR(ISNUMBER(SEARCH("verificar",G155)),ISNUMBER(SEARCH("pegar",G155))),"Verificar PIN",IF(G155="","PIN não informado","OK")))))</f>
        <v>Verificar nº de série</v>
      </c>
    </row>
    <row r="156" customFormat="false" ht="14.25" hidden="false" customHeight="false" outlineLevel="0" collapsed="false">
      <c r="A156" s="11"/>
      <c r="B156" s="12"/>
      <c r="C156" s="12"/>
      <c r="D156" s="12"/>
      <c r="E156" s="12"/>
      <c r="F156" s="13"/>
      <c r="G156" s="14"/>
      <c r="H156" s="19" t="str">
        <f aca="false">IF(OR(ISNUMBER(SEARCH("manual",F156)),ISNUMBER(SEARCH("usb",F156))),"Impressora local (USB)",IF(OR(E156="",ISNUMBER(SEARCH("verificar",E156))),"Verificar nº de série",IF(F156="","Sem IP cadastrado",IF(OR(ISNUMBER(SEARCH("verificar",G156)),ISNUMBER(SEARCH("pegar",G156))),"Verificar PIN",IF(G156="","PIN não informado","OK")))))</f>
        <v>Verificar nº de série</v>
      </c>
    </row>
    <row r="157" customFormat="false" ht="14.25" hidden="false" customHeight="false" outlineLevel="0" collapsed="false">
      <c r="A157" s="7"/>
      <c r="B157" s="8"/>
      <c r="C157" s="8"/>
      <c r="D157" s="8"/>
      <c r="E157" s="8"/>
      <c r="F157" s="9"/>
      <c r="G157" s="10"/>
      <c r="H157" s="19" t="str">
        <f aca="false">IF(OR(ISNUMBER(SEARCH("manual",F157)),ISNUMBER(SEARCH("usb",F157))),"Impressora local (USB)",IF(OR(E157="",ISNUMBER(SEARCH("verificar",E157))),"Verificar nº de série",IF(F157="","Sem IP cadastrado",IF(OR(ISNUMBER(SEARCH("verificar",G157)),ISNUMBER(SEARCH("pegar",G157))),"Verificar PIN",IF(G157="","PIN não informado","OK")))))</f>
        <v>Verificar nº de série</v>
      </c>
    </row>
    <row r="158" customFormat="false" ht="14.25" hidden="false" customHeight="false" outlineLevel="0" collapsed="false">
      <c r="A158" s="11"/>
      <c r="B158" s="12"/>
      <c r="C158" s="12"/>
      <c r="D158" s="12"/>
      <c r="E158" s="12"/>
      <c r="F158" s="13"/>
      <c r="G158" s="14"/>
      <c r="H158" s="19" t="str">
        <f aca="false">IF(OR(ISNUMBER(SEARCH("manual",F158)),ISNUMBER(SEARCH("usb",F158))),"Impressora local (USB)",IF(OR(E158="",ISNUMBER(SEARCH("verificar",E158))),"Verificar nº de série",IF(F158="","Sem IP cadastrado",IF(OR(ISNUMBER(SEARCH("verificar",G158)),ISNUMBER(SEARCH("pegar",G158))),"Verificar PIN",IF(G158="","PIN não informado","OK")))))</f>
        <v>Verificar nº de série</v>
      </c>
    </row>
    <row r="159" customFormat="false" ht="14.25" hidden="false" customHeight="false" outlineLevel="0" collapsed="false">
      <c r="A159" s="7"/>
      <c r="B159" s="8"/>
      <c r="C159" s="8"/>
      <c r="D159" s="8"/>
      <c r="E159" s="8"/>
      <c r="F159" s="9"/>
      <c r="G159" s="10"/>
      <c r="H159" s="19" t="str">
        <f aca="false">IF(OR(ISNUMBER(SEARCH("manual",F159)),ISNUMBER(SEARCH("usb",F159))),"Impressora local (USB)",IF(OR(E159="",ISNUMBER(SEARCH("verificar",E159))),"Verificar nº de série",IF(F159="","Sem IP cadastrado",IF(OR(ISNUMBER(SEARCH("verificar",G159)),ISNUMBER(SEARCH("pegar",G159))),"Verificar PIN",IF(G159="","PIN não informado","OK")))))</f>
        <v>Verificar nº de série</v>
      </c>
    </row>
    <row r="160" customFormat="false" ht="14.25" hidden="false" customHeight="false" outlineLevel="0" collapsed="false">
      <c r="A160" s="11"/>
      <c r="B160" s="12"/>
      <c r="C160" s="12"/>
      <c r="D160" s="12"/>
      <c r="E160" s="12"/>
      <c r="F160" s="13"/>
      <c r="G160" s="14"/>
      <c r="H160" s="19" t="str">
        <f aca="false">IF(OR(ISNUMBER(SEARCH("manual",F160)),ISNUMBER(SEARCH("usb",F160))),"Impressora local (USB)",IF(OR(E160="",ISNUMBER(SEARCH("verificar",E160))),"Verificar nº de série",IF(F160="","Sem IP cadastrado",IF(OR(ISNUMBER(SEARCH("verificar",G160)),ISNUMBER(SEARCH("pegar",G160))),"Verificar PIN",IF(G160="","PIN não informado","OK")))))</f>
        <v>Verificar nº de série</v>
      </c>
    </row>
    <row r="161" customFormat="false" ht="14.25" hidden="false" customHeight="false" outlineLevel="0" collapsed="false">
      <c r="A161" s="7"/>
      <c r="B161" s="8"/>
      <c r="C161" s="8"/>
      <c r="D161" s="8"/>
      <c r="E161" s="8"/>
      <c r="F161" s="9"/>
      <c r="G161" s="10"/>
      <c r="H161" s="19" t="str">
        <f aca="false">IF(OR(ISNUMBER(SEARCH("manual",F161)),ISNUMBER(SEARCH("usb",F161))),"Impressora local (USB)",IF(OR(E161="",ISNUMBER(SEARCH("verificar",E161))),"Verificar nº de série",IF(F161="","Sem IP cadastrado",IF(OR(ISNUMBER(SEARCH("verificar",G161)),ISNUMBER(SEARCH("pegar",G161))),"Verificar PIN",IF(G161="","PIN não informado","OK")))))</f>
        <v>Verificar nº de série</v>
      </c>
    </row>
    <row r="162" customFormat="false" ht="14.25" hidden="false" customHeight="false" outlineLevel="0" collapsed="false">
      <c r="A162" s="11"/>
      <c r="B162" s="12"/>
      <c r="C162" s="12"/>
      <c r="D162" s="12"/>
      <c r="E162" s="12"/>
      <c r="F162" s="13"/>
      <c r="G162" s="14"/>
      <c r="H162" s="19" t="str">
        <f aca="false">IF(OR(ISNUMBER(SEARCH("manual",F162)),ISNUMBER(SEARCH("usb",F162))),"Impressora local (USB)",IF(OR(E162="",ISNUMBER(SEARCH("verificar",E162))),"Verificar nº de série",IF(F162="","Sem IP cadastrado",IF(OR(ISNUMBER(SEARCH("verificar",G162)),ISNUMBER(SEARCH("pegar",G162))),"Verificar PIN",IF(G162="","PIN não informado","OK")))))</f>
        <v>Verificar nº de série</v>
      </c>
    </row>
    <row r="163" customFormat="false" ht="14.25" hidden="false" customHeight="false" outlineLevel="0" collapsed="false">
      <c r="A163" s="7"/>
      <c r="B163" s="8"/>
      <c r="C163" s="8"/>
      <c r="D163" s="8"/>
      <c r="E163" s="8"/>
      <c r="F163" s="9"/>
      <c r="G163" s="10"/>
      <c r="H163" s="19" t="str">
        <f aca="false">IF(OR(ISNUMBER(SEARCH("manual",F163)),ISNUMBER(SEARCH("usb",F163))),"Impressora local (USB)",IF(OR(E163="",ISNUMBER(SEARCH("verificar",E163))),"Verificar nº de série",IF(F163="","Sem IP cadastrado",IF(OR(ISNUMBER(SEARCH("verificar",G163)),ISNUMBER(SEARCH("pegar",G163))),"Verificar PIN",IF(G163="","PIN não informado","OK")))))</f>
        <v>Verificar nº de série</v>
      </c>
    </row>
    <row r="164" customFormat="false" ht="14.25" hidden="false" customHeight="false" outlineLevel="0" collapsed="false">
      <c r="A164" s="11"/>
      <c r="B164" s="12"/>
      <c r="C164" s="12"/>
      <c r="D164" s="12"/>
      <c r="E164" s="12"/>
      <c r="F164" s="13"/>
      <c r="G164" s="14"/>
      <c r="H164" s="19" t="str">
        <f aca="false">IF(OR(ISNUMBER(SEARCH("manual",F164)),ISNUMBER(SEARCH("usb",F164))),"Impressora local (USB)",IF(OR(E164="",ISNUMBER(SEARCH("verificar",E164))),"Verificar nº de série",IF(F164="","Sem IP cadastrado",IF(OR(ISNUMBER(SEARCH("verificar",G164)),ISNUMBER(SEARCH("pegar",G164))),"Verificar PIN",IF(G164="","PIN não informado","OK")))))</f>
        <v>Verificar nº de série</v>
      </c>
    </row>
    <row r="165" customFormat="false" ht="14.25" hidden="false" customHeight="false" outlineLevel="0" collapsed="false">
      <c r="A165" s="7"/>
      <c r="B165" s="8"/>
      <c r="C165" s="8"/>
      <c r="D165" s="8"/>
      <c r="E165" s="8"/>
      <c r="F165" s="9"/>
      <c r="G165" s="10"/>
      <c r="H165" s="19" t="str">
        <f aca="false">IF(OR(ISNUMBER(SEARCH("manual",F165)),ISNUMBER(SEARCH("usb",F165))),"Impressora local (USB)",IF(OR(E165="",ISNUMBER(SEARCH("verificar",E165))),"Verificar nº de série",IF(F165="","Sem IP cadastrado",IF(OR(ISNUMBER(SEARCH("verificar",G165)),ISNUMBER(SEARCH("pegar",G165))),"Verificar PIN",IF(G165="","PIN não informado","OK")))))</f>
        <v>Verificar nº de série</v>
      </c>
    </row>
    <row r="166" customFormat="false" ht="14.25" hidden="false" customHeight="false" outlineLevel="0" collapsed="false">
      <c r="A166" s="11"/>
      <c r="B166" s="12"/>
      <c r="C166" s="12"/>
      <c r="D166" s="12"/>
      <c r="E166" s="12"/>
      <c r="F166" s="13"/>
      <c r="G166" s="14"/>
      <c r="H166" s="19" t="str">
        <f aca="false">IF(OR(ISNUMBER(SEARCH("manual",F166)),ISNUMBER(SEARCH("usb",F166))),"Impressora local (USB)",IF(OR(E166="",ISNUMBER(SEARCH("verificar",E166))),"Verificar nº de série",IF(F166="","Sem IP cadastrado",IF(OR(ISNUMBER(SEARCH("verificar",G166)),ISNUMBER(SEARCH("pegar",G166))),"Verificar PIN",IF(G166="","PIN não informado","OK")))))</f>
        <v>Verificar nº de série</v>
      </c>
    </row>
    <row r="167" customFormat="false" ht="14.25" hidden="false" customHeight="false" outlineLevel="0" collapsed="false">
      <c r="A167" s="7"/>
      <c r="B167" s="8"/>
      <c r="C167" s="8"/>
      <c r="D167" s="8"/>
      <c r="E167" s="8"/>
      <c r="F167" s="9"/>
      <c r="G167" s="10"/>
      <c r="H167" s="19" t="str">
        <f aca="false">IF(OR(ISNUMBER(SEARCH("manual",F167)),ISNUMBER(SEARCH("usb",F167))),"Impressora local (USB)",IF(OR(E167="",ISNUMBER(SEARCH("verificar",E167))),"Verificar nº de série",IF(F167="","Sem IP cadastrado",IF(OR(ISNUMBER(SEARCH("verificar",G167)),ISNUMBER(SEARCH("pegar",G167))),"Verificar PIN",IF(G167="","PIN não informado","OK")))))</f>
        <v>Verificar nº de série</v>
      </c>
    </row>
    <row r="168" customFormat="false" ht="14.25" hidden="false" customHeight="false" outlineLevel="0" collapsed="false">
      <c r="A168" s="11"/>
      <c r="B168" s="12"/>
      <c r="C168" s="12"/>
      <c r="D168" s="12"/>
      <c r="E168" s="12"/>
      <c r="F168" s="13"/>
      <c r="G168" s="14"/>
      <c r="H168" s="19" t="str">
        <f aca="false">IF(OR(ISNUMBER(SEARCH("manual",F168)),ISNUMBER(SEARCH("usb",F168))),"Impressora local (USB)",IF(OR(E168="",ISNUMBER(SEARCH("verificar",E168))),"Verificar nº de série",IF(F168="","Sem IP cadastrado",IF(OR(ISNUMBER(SEARCH("verificar",G168)),ISNUMBER(SEARCH("pegar",G168))),"Verificar PIN",IF(G168="","PIN não informado","OK")))))</f>
        <v>Verificar nº de série</v>
      </c>
    </row>
    <row r="169" customFormat="false" ht="14.25" hidden="false" customHeight="false" outlineLevel="0" collapsed="false">
      <c r="A169" s="7"/>
      <c r="B169" s="8"/>
      <c r="C169" s="8"/>
      <c r="D169" s="8"/>
      <c r="E169" s="8"/>
      <c r="F169" s="9"/>
      <c r="G169" s="10"/>
      <c r="H169" s="19" t="str">
        <f aca="false">IF(OR(ISNUMBER(SEARCH("manual",F169)),ISNUMBER(SEARCH("usb",F169))),"Impressora local (USB)",IF(OR(E169="",ISNUMBER(SEARCH("verificar",E169))),"Verificar nº de série",IF(F169="","Sem IP cadastrado",IF(OR(ISNUMBER(SEARCH("verificar",G169)),ISNUMBER(SEARCH("pegar",G169))),"Verificar PIN",IF(G169="","PIN não informado","OK")))))</f>
        <v>Verificar nº de série</v>
      </c>
    </row>
    <row r="170" customFormat="false" ht="14.25" hidden="false" customHeight="false" outlineLevel="0" collapsed="false">
      <c r="A170" s="11"/>
      <c r="B170" s="12"/>
      <c r="C170" s="12"/>
      <c r="D170" s="12"/>
      <c r="E170" s="12"/>
      <c r="F170" s="13"/>
      <c r="G170" s="14"/>
      <c r="H170" s="19" t="str">
        <f aca="false">IF(OR(ISNUMBER(SEARCH("manual",F170)),ISNUMBER(SEARCH("usb",F170))),"Impressora local (USB)",IF(OR(E170="",ISNUMBER(SEARCH("verificar",E170))),"Verificar nº de série",IF(F170="","Sem IP cadastrado",IF(OR(ISNUMBER(SEARCH("verificar",G170)),ISNUMBER(SEARCH("pegar",G170))),"Verificar PIN",IF(G170="","PIN não informado","OK")))))</f>
        <v>Verificar nº de série</v>
      </c>
    </row>
    <row r="171" customFormat="false" ht="14.25" hidden="false" customHeight="false" outlineLevel="0" collapsed="false">
      <c r="A171" s="7"/>
      <c r="B171" s="8"/>
      <c r="C171" s="8"/>
      <c r="D171" s="8"/>
      <c r="E171" s="8"/>
      <c r="F171" s="9"/>
      <c r="G171" s="10"/>
      <c r="H171" s="19" t="str">
        <f aca="false">IF(OR(ISNUMBER(SEARCH("manual",F171)),ISNUMBER(SEARCH("usb",F171))),"Impressora local (USB)",IF(OR(E171="",ISNUMBER(SEARCH("verificar",E171))),"Verificar nº de série",IF(F171="","Sem IP cadastrado",IF(OR(ISNUMBER(SEARCH("verificar",G171)),ISNUMBER(SEARCH("pegar",G171))),"Verificar PIN",IF(G171="","PIN não informado","OK")))))</f>
        <v>Verificar nº de série</v>
      </c>
    </row>
    <row r="172" customFormat="false" ht="14.25" hidden="false" customHeight="false" outlineLevel="0" collapsed="false">
      <c r="A172" s="11"/>
      <c r="B172" s="12"/>
      <c r="C172" s="12"/>
      <c r="D172" s="12"/>
      <c r="E172" s="12"/>
      <c r="F172" s="13"/>
      <c r="G172" s="14"/>
      <c r="H172" s="19" t="str">
        <f aca="false">IF(OR(ISNUMBER(SEARCH("manual",F172)),ISNUMBER(SEARCH("usb",F172))),"Impressora local (USB)",IF(OR(E172="",ISNUMBER(SEARCH("verificar",E172))),"Verificar nº de série",IF(F172="","Sem IP cadastrado",IF(OR(ISNUMBER(SEARCH("verificar",G172)),ISNUMBER(SEARCH("pegar",G172))),"Verificar PIN",IF(G172="","PIN não informado","OK")))))</f>
        <v>Verificar nº de série</v>
      </c>
    </row>
    <row r="173" customFormat="false" ht="14.25" hidden="false" customHeight="false" outlineLevel="0" collapsed="false">
      <c r="A173" s="7"/>
      <c r="B173" s="8"/>
      <c r="C173" s="8"/>
      <c r="D173" s="8"/>
      <c r="E173" s="8"/>
      <c r="F173" s="9"/>
      <c r="G173" s="10"/>
      <c r="H173" s="19" t="str">
        <f aca="false">IF(OR(ISNUMBER(SEARCH("manual",F173)),ISNUMBER(SEARCH("usb",F173))),"Impressora local (USB)",IF(OR(E173="",ISNUMBER(SEARCH("verificar",E173))),"Verificar nº de série",IF(F173="","Sem IP cadastrado",IF(OR(ISNUMBER(SEARCH("verificar",G173)),ISNUMBER(SEARCH("pegar",G173))),"Verificar PIN",IF(G173="","PIN não informado","OK")))))</f>
        <v>Verificar nº de série</v>
      </c>
    </row>
    <row r="174" customFormat="false" ht="14.25" hidden="false" customHeight="false" outlineLevel="0" collapsed="false">
      <c r="A174" s="11"/>
      <c r="B174" s="12"/>
      <c r="C174" s="12"/>
      <c r="D174" s="12"/>
      <c r="E174" s="12"/>
      <c r="F174" s="13"/>
      <c r="G174" s="14"/>
      <c r="H174" s="19" t="str">
        <f aca="false">IF(OR(ISNUMBER(SEARCH("manual",F174)),ISNUMBER(SEARCH("usb",F174))),"Impressora local (USB)",IF(OR(E174="",ISNUMBER(SEARCH("verificar",E174))),"Verificar nº de série",IF(F174="","Sem IP cadastrado",IF(OR(ISNUMBER(SEARCH("verificar",G174)),ISNUMBER(SEARCH("pegar",G174))),"Verificar PIN",IF(G174="","PIN não informado","OK")))))</f>
        <v>Verificar nº de série</v>
      </c>
    </row>
    <row r="175" customFormat="false" ht="14.25" hidden="false" customHeight="false" outlineLevel="0" collapsed="false">
      <c r="A175" s="7"/>
      <c r="B175" s="8"/>
      <c r="C175" s="8"/>
      <c r="D175" s="8"/>
      <c r="E175" s="8"/>
      <c r="F175" s="9"/>
      <c r="G175" s="10"/>
      <c r="H175" s="19" t="str">
        <f aca="false">IF(OR(ISNUMBER(SEARCH("manual",F175)),ISNUMBER(SEARCH("usb",F175))),"Impressora local (USB)",IF(OR(E175="",ISNUMBER(SEARCH("verificar",E175))),"Verificar nº de série",IF(F175="","Sem IP cadastrado",IF(OR(ISNUMBER(SEARCH("verificar",G175)),ISNUMBER(SEARCH("pegar",G175))),"Verificar PIN",IF(G175="","PIN não informado","OK")))))</f>
        <v>Verificar nº de série</v>
      </c>
    </row>
    <row r="176" customFormat="false" ht="14.25" hidden="false" customHeight="false" outlineLevel="0" collapsed="false">
      <c r="A176" s="11"/>
      <c r="B176" s="12"/>
      <c r="C176" s="12"/>
      <c r="D176" s="12"/>
      <c r="E176" s="12"/>
      <c r="F176" s="13"/>
      <c r="G176" s="14"/>
      <c r="H176" s="19" t="str">
        <f aca="false">IF(OR(ISNUMBER(SEARCH("manual",F176)),ISNUMBER(SEARCH("usb",F176))),"Impressora local (USB)",IF(OR(E176="",ISNUMBER(SEARCH("verificar",E176))),"Verificar nº de série",IF(F176="","Sem IP cadastrado",IF(OR(ISNUMBER(SEARCH("verificar",G176)),ISNUMBER(SEARCH("pegar",G176))),"Verificar PIN",IF(G176="","PIN não informado","OK")))))</f>
        <v>Verificar nº de série</v>
      </c>
    </row>
  </sheetData>
  <mergeCells count="2">
    <mergeCell ref="A1:H1"/>
    <mergeCell ref="A2:H2"/>
  </mergeCells>
  <conditionalFormatting sqref="H144:H176 H144:H176">
    <cfRule type="expression" priority="2" aboveAverage="0" equalAverage="0" bottom="0" percent="0" rank="0" text="" dxfId="10">
      <formula>H144="OK"</formula>
    </cfRule>
    <cfRule type="expression" priority="3" aboveAverage="0" equalAverage="0" bottom="0" percent="0" rank="0" text="" dxfId="11">
      <formula>H144="Sem IP cadastrado"</formula>
    </cfRule>
    <cfRule type="expression" priority="4" aboveAverage="0" equalAverage="0" bottom="0" percent="0" rank="0" text="" dxfId="12">
      <formula>ISNUMBER(SEARCH("Verificar",H144))</formula>
    </cfRule>
    <cfRule type="expression" priority="5" aboveAverage="0" equalAverage="0" bottom="0" percent="0" rank="0" text="" dxfId="13">
      <formula>H144="PIN não informado"</formula>
    </cfRule>
    <cfRule type="expression" priority="6" aboveAverage="0" equalAverage="0" bottom="0" percent="0" rank="0" text="" dxfId="14">
      <formula>H144="Impressora local (USB)"</formula>
    </cfRule>
  </conditionalFormatting>
  <conditionalFormatting sqref="H142:H143 H138:H141 H142:H143 H138:H141">
    <cfRule type="expression" priority="7" aboveAverage="0" equalAverage="0" bottom="0" percent="0" rank="0" text="" dxfId="15">
      <formula>H138="OK"</formula>
    </cfRule>
    <cfRule type="expression" priority="8" aboveAverage="0" equalAverage="0" bottom="0" percent="0" rank="0" text="" dxfId="16">
      <formula>H138="Sem IP cadastrado"</formula>
    </cfRule>
    <cfRule type="expression" priority="9" aboveAverage="0" equalAverage="0" bottom="0" percent="0" rank="0" text="" dxfId="17">
      <formula>ISNUMBER(SEARCH("Verificar",H138))</formula>
    </cfRule>
    <cfRule type="expression" priority="10" aboveAverage="0" equalAverage="0" bottom="0" percent="0" rank="0" text="" dxfId="18">
      <formula>H138="PIN não informado"</formula>
    </cfRule>
    <cfRule type="expression" priority="11" aboveAverage="0" equalAverage="0" bottom="0" percent="0" rank="0" text="" dxfId="19">
      <formula>H138="Impressora local (USB)"</formula>
    </cfRule>
  </conditionalFormatting>
  <conditionalFormatting sqref="H137">
    <cfRule type="expression" priority="12" aboveAverage="0" equalAverage="0" bottom="0" percent="0" rank="0" text="" dxfId="20">
      <formula>H137="OK"</formula>
    </cfRule>
    <cfRule type="expression" priority="13" aboveAverage="0" equalAverage="0" bottom="0" percent="0" rank="0" text="" dxfId="21">
      <formula>H137="Sem IP cadastrado"</formula>
    </cfRule>
    <cfRule type="expression" priority="14" aboveAverage="0" equalAverage="0" bottom="0" percent="0" rank="0" text="" dxfId="22">
      <formula>ISNUMBER(SEARCH("Verificar",H137))</formula>
    </cfRule>
    <cfRule type="expression" priority="15" aboveAverage="0" equalAverage="0" bottom="0" percent="0" rank="0" text="" dxfId="23">
      <formula>H137="PIN não informado"</formula>
    </cfRule>
    <cfRule type="expression" priority="16" aboveAverage="0" equalAverage="0" bottom="0" percent="0" rank="0" text="" dxfId="24">
      <formula>H137="Impressora local (USB)"</formula>
    </cfRule>
  </conditionalFormatting>
  <conditionalFormatting sqref="H5:H137">
    <cfRule type="expression" priority="17" aboveAverage="0" equalAverage="0" bottom="0" percent="0" rank="0" text="" dxfId="25">
      <formula>H5="OK"</formula>
    </cfRule>
    <cfRule type="expression" priority="18" aboveAverage="0" equalAverage="0" bottom="0" percent="0" rank="0" text="" dxfId="26">
      <formula>H5="Sem IP cadastrado"</formula>
    </cfRule>
    <cfRule type="expression" priority="19" aboveAverage="0" equalAverage="0" bottom="0" percent="0" rank="0" text="" dxfId="27">
      <formula>ISNUMBER(SEARCH("Verificar",H5))</formula>
    </cfRule>
    <cfRule type="expression" priority="20" aboveAverage="0" equalAverage="0" bottom="0" percent="0" rank="0" text="" dxfId="28">
      <formula>H5="PIN não informado"</formula>
    </cfRule>
    <cfRule type="expression" priority="21" aboveAverage="0" equalAverage="0" bottom="0" percent="0" rank="0" text="" dxfId="29">
      <formula>H5="Impressora local (USB)"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</cols>
  <sheetData>
    <row r="1" customFormat="false" ht="19.7" hidden="false" customHeight="false" outlineLevel="0" collapsed="false">
      <c r="A1" s="3" t="s">
        <v>467</v>
      </c>
      <c r="B1" s="3"/>
      <c r="C1" s="3"/>
      <c r="D1" s="3"/>
    </row>
    <row r="3" customFormat="false" ht="14.25" hidden="false" customHeight="false" outlineLevel="0" collapsed="false">
      <c r="A3" s="23" t="s">
        <v>468</v>
      </c>
      <c r="B3" s="24" t="n">
        <f aca="false">COUNTA(Impressoras!C5:C137)</f>
        <v>133</v>
      </c>
    </row>
    <row r="5" customFormat="false" ht="26.85" hidden="false" customHeight="false" outlineLevel="0" collapsed="false">
      <c r="A5" s="5" t="s">
        <v>3</v>
      </c>
      <c r="B5" s="5" t="s">
        <v>469</v>
      </c>
      <c r="C5" s="5" t="s">
        <v>470</v>
      </c>
      <c r="D5" s="5" t="s">
        <v>471</v>
      </c>
    </row>
    <row r="6" customFormat="false" ht="14.25" hidden="false" customHeight="false" outlineLevel="0" collapsed="false">
      <c r="A6" s="8" t="s">
        <v>12</v>
      </c>
      <c r="B6" s="25" t="n">
        <f aca="false">COUNTIF(Impressoras!$B$5:$B$137,A6)</f>
        <v>10</v>
      </c>
      <c r="C6" s="25" t="n">
        <f aca="false">COUNTIFS(Impressoras!$B$5:$B$137,A6,Impressoras!$H$5:$H$137,"Sem IP cadastrado")</f>
        <v>1</v>
      </c>
      <c r="D6" s="25" t="n">
        <f aca="false">COUNTIFS(Impressoras!$B$5:$B$137,A6,Impressoras!$H$5:$H$137,"Verificar*")</f>
        <v>4</v>
      </c>
    </row>
    <row r="7" customFormat="false" ht="14.25" hidden="false" customHeight="false" outlineLevel="0" collapsed="false">
      <c r="A7" s="8" t="s">
        <v>51</v>
      </c>
      <c r="B7" s="25" t="n">
        <f aca="false">COUNTIF(Impressoras!$B$5:$B$137,A7)</f>
        <v>4</v>
      </c>
      <c r="C7" s="25" t="n">
        <f aca="false">COUNTIFS(Impressoras!$B$5:$B$137,A7,Impressoras!$H$5:$H$137,"Sem IP cadastrado")</f>
        <v>0</v>
      </c>
      <c r="D7" s="25" t="n">
        <f aca="false">COUNTIFS(Impressoras!$B$5:$B$137,A7,Impressoras!$H$5:$H$137,"Verificar*")</f>
        <v>3</v>
      </c>
    </row>
    <row r="8" customFormat="false" ht="14.25" hidden="false" customHeight="false" outlineLevel="0" collapsed="false">
      <c r="A8" s="8" t="s">
        <v>65</v>
      </c>
      <c r="B8" s="25" t="n">
        <f aca="false">COUNTIF(Impressoras!$B$5:$B$137,A8)</f>
        <v>4</v>
      </c>
      <c r="C8" s="25" t="n">
        <f aca="false">COUNTIFS(Impressoras!$B$5:$B$137,A8,Impressoras!$H$5:$H$137,"Sem IP cadastrado")</f>
        <v>0</v>
      </c>
      <c r="D8" s="25" t="n">
        <f aca="false">COUNTIFS(Impressoras!$B$5:$B$137,A8,Impressoras!$H$5:$H$137,"Verificar*")</f>
        <v>2</v>
      </c>
    </row>
    <row r="9" customFormat="false" ht="14.25" hidden="false" customHeight="false" outlineLevel="0" collapsed="false">
      <c r="A9" s="8" t="s">
        <v>79</v>
      </c>
      <c r="B9" s="25" t="n">
        <f aca="false">COUNTIF(Impressoras!$B$5:$B$137,A9)</f>
        <v>4</v>
      </c>
      <c r="C9" s="25" t="n">
        <f aca="false">COUNTIFS(Impressoras!$B$5:$B$137,A9,Impressoras!$H$5:$H$137,"Sem IP cadastrado")</f>
        <v>0</v>
      </c>
      <c r="D9" s="25" t="n">
        <f aca="false">COUNTIFS(Impressoras!$B$5:$B$137,A9,Impressoras!$H$5:$H$137,"Verificar*")</f>
        <v>0</v>
      </c>
    </row>
    <row r="10" customFormat="false" ht="14.25" hidden="false" customHeight="false" outlineLevel="0" collapsed="false">
      <c r="A10" s="8" t="s">
        <v>112</v>
      </c>
      <c r="B10" s="25" t="n">
        <f aca="false">COUNTIF(Impressoras!$B$5:$B$137,A10)</f>
        <v>4</v>
      </c>
      <c r="C10" s="25" t="n">
        <f aca="false">COUNTIFS(Impressoras!$B$5:$B$137,A10,Impressoras!$H$5:$H$137,"Sem IP cadastrado")</f>
        <v>0</v>
      </c>
      <c r="D10" s="25" t="n">
        <f aca="false">COUNTIFS(Impressoras!$B$5:$B$137,A10,Impressoras!$H$5:$H$137,"Verificar*")</f>
        <v>1</v>
      </c>
    </row>
    <row r="11" customFormat="false" ht="14.25" hidden="false" customHeight="false" outlineLevel="0" collapsed="false">
      <c r="A11" s="8" t="s">
        <v>126</v>
      </c>
      <c r="B11" s="25" t="n">
        <f aca="false">COUNTIF(Impressoras!$B$5:$B$137,A11)</f>
        <v>4</v>
      </c>
      <c r="C11" s="25" t="n">
        <f aca="false">COUNTIFS(Impressoras!$B$5:$B$137,A11,Impressoras!$H$5:$H$137,"Sem IP cadastrado")</f>
        <v>0</v>
      </c>
      <c r="D11" s="25" t="n">
        <f aca="false">COUNTIFS(Impressoras!$B$5:$B$137,A11,Impressoras!$H$5:$H$137,"Verificar*")</f>
        <v>0</v>
      </c>
    </row>
    <row r="12" customFormat="false" ht="14.25" hidden="false" customHeight="false" outlineLevel="0" collapsed="false">
      <c r="A12" s="8" t="s">
        <v>141</v>
      </c>
      <c r="B12" s="25" t="n">
        <f aca="false">COUNTIF(Impressoras!$B$5:$B$137,A12)</f>
        <v>4</v>
      </c>
      <c r="C12" s="25" t="n">
        <f aca="false">COUNTIFS(Impressoras!$B$5:$B$137,A12,Impressoras!$H$5:$H$137,"Sem IP cadastrado")</f>
        <v>0</v>
      </c>
      <c r="D12" s="25" t="n">
        <f aca="false">COUNTIFS(Impressoras!$B$5:$B$137,A12,Impressoras!$H$5:$H$137,"Verificar*")</f>
        <v>1</v>
      </c>
    </row>
    <row r="13" customFormat="false" ht="14.25" hidden="false" customHeight="false" outlineLevel="0" collapsed="false">
      <c r="A13" s="8" t="s">
        <v>472</v>
      </c>
      <c r="B13" s="25" t="n">
        <f aca="false">COUNTIF(Impressoras!$B$5:$B$137,A13)</f>
        <v>0</v>
      </c>
      <c r="C13" s="25" t="n">
        <f aca="false">COUNTIFS(Impressoras!$B$5:$B$137,A13,Impressoras!$H$5:$H$137,"Sem IP cadastrado")</f>
        <v>0</v>
      </c>
      <c r="D13" s="25" t="n">
        <f aca="false">COUNTIFS(Impressoras!$B$5:$B$137,A13,Impressoras!$H$5:$H$137,"Verificar*")</f>
        <v>0</v>
      </c>
    </row>
    <row r="14" customFormat="false" ht="14.25" hidden="false" customHeight="false" outlineLevel="0" collapsed="false">
      <c r="A14" s="8" t="s">
        <v>230</v>
      </c>
      <c r="B14" s="25" t="n">
        <f aca="false">COUNTIF(Impressoras!$B$5:$B$137,A14)</f>
        <v>3</v>
      </c>
      <c r="C14" s="25" t="n">
        <f aca="false">COUNTIFS(Impressoras!$B$5:$B$137,A14,Impressoras!$H$5:$H$137,"Sem IP cadastrado")</f>
        <v>0</v>
      </c>
      <c r="D14" s="25" t="n">
        <f aca="false">COUNTIFS(Impressoras!$B$5:$B$137,A14,Impressoras!$H$5:$H$137,"Verificar*")</f>
        <v>0</v>
      </c>
    </row>
    <row r="15" customFormat="false" ht="14.25" hidden="false" customHeight="false" outlineLevel="0" collapsed="false">
      <c r="A15" s="8" t="s">
        <v>240</v>
      </c>
      <c r="B15" s="25" t="n">
        <f aca="false">COUNTIF(Impressoras!$B$5:$B$137,A15)</f>
        <v>5</v>
      </c>
      <c r="C15" s="25" t="n">
        <f aca="false">COUNTIFS(Impressoras!$B$5:$B$137,A15,Impressoras!$H$5:$H$137,"Sem IP cadastrado")</f>
        <v>0</v>
      </c>
      <c r="D15" s="25" t="n">
        <f aca="false">COUNTIFS(Impressoras!$B$5:$B$137,A15,Impressoras!$H$5:$H$137,"Verificar*")</f>
        <v>1</v>
      </c>
    </row>
    <row r="16" customFormat="false" ht="14.25" hidden="false" customHeight="false" outlineLevel="0" collapsed="false">
      <c r="A16" s="8" t="s">
        <v>256</v>
      </c>
      <c r="B16" s="25" t="n">
        <f aca="false">COUNTIF(Impressoras!$B$5:$B$137,A16)</f>
        <v>3</v>
      </c>
      <c r="C16" s="25" t="n">
        <f aca="false">COUNTIFS(Impressoras!$B$5:$B$137,A16,Impressoras!$H$5:$H$137,"Sem IP cadastrado")</f>
        <v>0</v>
      </c>
      <c r="D16" s="25" t="n">
        <f aca="false">COUNTIFS(Impressoras!$B$5:$B$137,A16,Impressoras!$H$5:$H$137,"Verificar*")</f>
        <v>0</v>
      </c>
    </row>
    <row r="17" customFormat="false" ht="14.25" hidden="false" customHeight="false" outlineLevel="0" collapsed="false">
      <c r="A17" s="8" t="s">
        <v>267</v>
      </c>
      <c r="B17" s="25" t="n">
        <f aca="false">COUNTIF(Impressoras!$B$5:$B$137,A17)</f>
        <v>51</v>
      </c>
      <c r="C17" s="25" t="n">
        <f aca="false">COUNTIFS(Impressoras!$B$5:$B$137,A17,Impressoras!$H$5:$H$137,"Sem IP cadastrado")</f>
        <v>1</v>
      </c>
      <c r="D17" s="25" t="n">
        <f aca="false">COUNTIFS(Impressoras!$B$5:$B$137,A17,Impressoras!$H$5:$H$137,"Verificar*")</f>
        <v>1</v>
      </c>
    </row>
    <row r="18" customFormat="false" ht="14.25" hidden="false" customHeight="false" outlineLevel="0" collapsed="false">
      <c r="A18" s="8" t="s">
        <v>430</v>
      </c>
      <c r="B18" s="25" t="n">
        <f aca="false">COUNTIF(Impressoras!$B$5:$B$137,A18)</f>
        <v>5</v>
      </c>
      <c r="C18" s="25" t="n">
        <f aca="false">COUNTIFS(Impressoras!$B$5:$B$137,A18,Impressoras!$H$5:$H$137,"Sem IP cadastrado")</f>
        <v>0</v>
      </c>
      <c r="D18" s="25" t="n">
        <f aca="false">COUNTIFS(Impressoras!$B$5:$B$137,A18,Impressoras!$H$5:$H$137,"Verificar*")</f>
        <v>1</v>
      </c>
    </row>
    <row r="19" customFormat="false" ht="14.25" hidden="false" customHeight="false" outlineLevel="0" collapsed="false">
      <c r="A19" s="8" t="s">
        <v>444</v>
      </c>
      <c r="B19" s="25" t="n">
        <f aca="false">COUNTIF(Impressoras!$B$5:$B$137,A19)</f>
        <v>4</v>
      </c>
      <c r="C19" s="25" t="n">
        <f aca="false">COUNTIFS(Impressoras!$B$5:$B$137,A19,Impressoras!$H$5:$H$137,"Sem IP cadastrado")</f>
        <v>0</v>
      </c>
      <c r="D19" s="25" t="n">
        <f aca="false">COUNTIFS(Impressoras!$B$5:$B$137,A19,Impressoras!$H$5:$H$137,"Verificar*")</f>
        <v>1</v>
      </c>
    </row>
    <row r="20" customFormat="false" ht="14.25" hidden="false" customHeight="false" outlineLevel="0" collapsed="false">
      <c r="A20" s="8" t="s">
        <v>456</v>
      </c>
      <c r="B20" s="25" t="n">
        <f aca="false">COUNTIF(Impressoras!$B$5:$B$137,A20)</f>
        <v>1</v>
      </c>
      <c r="C20" s="25" t="n">
        <f aca="false">COUNTIFS(Impressoras!$B$5:$B$137,A20,Impressoras!$H$5:$H$137,"Sem IP cadastrado")</f>
        <v>0</v>
      </c>
      <c r="D20" s="25" t="n">
        <f aca="false">COUNTIFS(Impressoras!$B$5:$B$137,A20,Impressoras!$H$5:$H$137,"Verificar*")</f>
        <v>0</v>
      </c>
    </row>
    <row r="22" customFormat="false" ht="14.25" hidden="false" customHeight="false" outlineLevel="0" collapsed="false">
      <c r="A22" s="5" t="s">
        <v>9</v>
      </c>
      <c r="B22" s="5" t="s">
        <v>473</v>
      </c>
    </row>
    <row r="23" customFormat="false" ht="14.25" hidden="false" customHeight="false" outlineLevel="0" collapsed="false">
      <c r="A23" s="26" t="s">
        <v>474</v>
      </c>
      <c r="B23" s="25" t="n">
        <f aca="false">COUNTIF(Impressoras!$H$5:$H$137,A23)</f>
        <v>43</v>
      </c>
    </row>
    <row r="24" customFormat="false" ht="14.25" hidden="false" customHeight="false" outlineLevel="0" collapsed="false">
      <c r="A24" s="26" t="s">
        <v>475</v>
      </c>
      <c r="B24" s="25" t="n">
        <f aca="false">COUNTIF(Impressoras!$H$5:$H$137,A24)</f>
        <v>2</v>
      </c>
    </row>
    <row r="25" customFormat="false" ht="14.25" hidden="false" customHeight="false" outlineLevel="0" collapsed="false">
      <c r="A25" s="26" t="s">
        <v>476</v>
      </c>
      <c r="B25" s="25" t="n">
        <f aca="false">COUNTIF(Impressoras!$H$5:$H$137,A25)</f>
        <v>9</v>
      </c>
    </row>
    <row r="26" customFormat="false" ht="14.25" hidden="false" customHeight="false" outlineLevel="0" collapsed="false">
      <c r="A26" s="26" t="s">
        <v>477</v>
      </c>
      <c r="B26" s="25" t="n">
        <f aca="false">COUNTIF(Impressoras!$H$5:$H$137,A26)</f>
        <v>9</v>
      </c>
    </row>
    <row r="27" customFormat="false" ht="14.25" hidden="false" customHeight="false" outlineLevel="0" collapsed="false">
      <c r="A27" s="26" t="s">
        <v>478</v>
      </c>
      <c r="B27" s="25" t="n">
        <f aca="false">COUNTIF(Impressoras!$H$5:$H$137,A27)</f>
        <v>62</v>
      </c>
    </row>
    <row r="28" customFormat="false" ht="14.25" hidden="false" customHeight="false" outlineLevel="0" collapsed="false">
      <c r="A28" s="26" t="s">
        <v>479</v>
      </c>
      <c r="B28" s="25" t="n">
        <f aca="false">COUNTIF(Impressoras!$H$5:$H$137,A28)</f>
        <v>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0"/>
  </cols>
  <sheetData>
    <row r="1" customFormat="false" ht="19.7" hidden="false" customHeight="false" outlineLevel="0" collapsed="false">
      <c r="A1" s="3" t="s">
        <v>480</v>
      </c>
      <c r="B1" s="3"/>
    </row>
    <row r="3" customFormat="false" ht="45" hidden="false" customHeight="true" outlineLevel="0" collapsed="false">
      <c r="A3" s="27" t="s">
        <v>481</v>
      </c>
      <c r="B3" s="28" t="s">
        <v>482</v>
      </c>
    </row>
    <row r="5" customFormat="false" ht="45" hidden="false" customHeight="true" outlineLevel="0" collapsed="false">
      <c r="A5" s="27" t="s">
        <v>483</v>
      </c>
      <c r="B5" s="28" t="s">
        <v>484</v>
      </c>
    </row>
    <row r="7" customFormat="false" ht="45" hidden="false" customHeight="true" outlineLevel="0" collapsed="false">
      <c r="A7" s="27" t="s">
        <v>485</v>
      </c>
      <c r="B7" s="28" t="s">
        <v>486</v>
      </c>
    </row>
    <row r="9" customFormat="false" ht="45" hidden="false" customHeight="true" outlineLevel="0" collapsed="false">
      <c r="A9" s="27" t="s">
        <v>487</v>
      </c>
      <c r="B9" s="28" t="s">
        <v>488</v>
      </c>
    </row>
    <row r="11" customFormat="false" ht="45" hidden="false" customHeight="true" outlineLevel="0" collapsed="false">
      <c r="A11" s="27" t="s">
        <v>489</v>
      </c>
      <c r="B11" s="28" t="s">
        <v>490</v>
      </c>
    </row>
    <row r="13" customFormat="false" ht="45" hidden="false" customHeight="true" outlineLevel="0" collapsed="false">
      <c r="A13" s="27" t="s">
        <v>491</v>
      </c>
      <c r="B13" s="28" t="s">
        <v>492</v>
      </c>
    </row>
    <row r="15" customFormat="false" ht="45" hidden="false" customHeight="true" outlineLevel="0" collapsed="false">
      <c r="A15" s="27" t="s">
        <v>493</v>
      </c>
      <c r="B15" s="28" t="s">
        <v>494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6"/>
    <col collapsed="false" customWidth="true" hidden="false" outlineLevel="0" max="5" min="5" style="1" width="18"/>
  </cols>
  <sheetData>
    <row r="1" customFormat="false" ht="14.25" hidden="false" customHeight="false" outlineLevel="0" collapsed="false">
      <c r="A1" s="4" t="s">
        <v>495</v>
      </c>
      <c r="B1" s="4"/>
      <c r="C1" s="4"/>
      <c r="D1" s="4"/>
      <c r="E1" s="4"/>
    </row>
    <row r="3" customFormat="false" ht="14.25" hidden="false" customHeight="false" outlineLevel="0" collapsed="false">
      <c r="A3" s="29" t="s">
        <v>496</v>
      </c>
      <c r="B3" s="29" t="s">
        <v>497</v>
      </c>
      <c r="C3" s="29" t="s">
        <v>498</v>
      </c>
      <c r="D3" s="29" t="s">
        <v>499</v>
      </c>
      <c r="E3" s="29" t="s">
        <v>500</v>
      </c>
    </row>
    <row r="4" customFormat="false" ht="14.25" hidden="false" customHeight="false" outlineLevel="0" collapsed="false">
      <c r="A4" s="28" t="s">
        <v>27</v>
      </c>
      <c r="B4" s="28" t="s">
        <v>28</v>
      </c>
      <c r="C4" s="28" t="s">
        <v>29</v>
      </c>
      <c r="D4" s="28" t="s">
        <v>30</v>
      </c>
      <c r="E4" s="28" t="n">
        <v>65562957</v>
      </c>
    </row>
    <row r="5" customFormat="false" ht="14.25" hidden="false" customHeight="false" outlineLevel="0" collapsed="false">
      <c r="A5" s="28" t="s">
        <v>31</v>
      </c>
      <c r="B5" s="28" t="s">
        <v>28</v>
      </c>
      <c r="C5" s="28" t="s">
        <v>32</v>
      </c>
      <c r="D5" s="28" t="s">
        <v>33</v>
      </c>
      <c r="E5" s="28" t="n">
        <v>65640910</v>
      </c>
    </row>
    <row r="6" customFormat="false" ht="14.25" hidden="false" customHeight="false" outlineLevel="0" collapsed="false">
      <c r="A6" s="28" t="s">
        <v>24</v>
      </c>
      <c r="B6" s="28" t="s">
        <v>25</v>
      </c>
      <c r="C6" s="28"/>
      <c r="D6" s="28" t="s">
        <v>16</v>
      </c>
      <c r="E6" s="28" t="s">
        <v>26</v>
      </c>
    </row>
    <row r="7" customFormat="false" ht="23.85" hidden="false" customHeight="false" outlineLevel="0" collapsed="false">
      <c r="A7" s="28" t="s">
        <v>38</v>
      </c>
      <c r="B7" s="28" t="s">
        <v>39</v>
      </c>
      <c r="C7" s="28" t="s">
        <v>40</v>
      </c>
      <c r="D7" s="28"/>
      <c r="E7" s="28" t="s">
        <v>41</v>
      </c>
    </row>
    <row r="8" customFormat="false" ht="14.25" hidden="false" customHeight="false" outlineLevel="0" collapsed="false">
      <c r="A8" s="28" t="s">
        <v>34</v>
      </c>
      <c r="B8" s="28" t="s">
        <v>21</v>
      </c>
      <c r="C8" s="28" t="s">
        <v>35</v>
      </c>
      <c r="D8" s="28" t="s">
        <v>36</v>
      </c>
      <c r="E8" s="28" t="s">
        <v>37</v>
      </c>
    </row>
    <row r="9" customFormat="false" ht="14.25" hidden="false" customHeight="false" outlineLevel="0" collapsed="false">
      <c r="A9" s="28" t="s">
        <v>45</v>
      </c>
      <c r="B9" s="28" t="s">
        <v>21</v>
      </c>
      <c r="C9" s="28" t="s">
        <v>46</v>
      </c>
      <c r="D9" s="28" t="s">
        <v>47</v>
      </c>
      <c r="E9" s="28" t="n">
        <v>4815061</v>
      </c>
    </row>
    <row r="10" customFormat="false" ht="14.25" hidden="false" customHeight="false" outlineLevel="0" collapsed="false">
      <c r="A10" s="28" t="s">
        <v>42</v>
      </c>
      <c r="B10" s="28" t="s">
        <v>28</v>
      </c>
      <c r="C10" s="28" t="s">
        <v>43</v>
      </c>
      <c r="D10" s="28" t="s">
        <v>44</v>
      </c>
      <c r="E10" s="28" t="n">
        <v>21660333</v>
      </c>
    </row>
    <row r="11" customFormat="false" ht="14.25" hidden="false" customHeight="false" outlineLevel="0" collapsed="false">
      <c r="A11" s="28" t="s">
        <v>20</v>
      </c>
      <c r="B11" s="28" t="s">
        <v>21</v>
      </c>
      <c r="C11" s="28" t="s">
        <v>22</v>
      </c>
      <c r="D11" s="28" t="s">
        <v>23</v>
      </c>
      <c r="E11" s="28" t="n">
        <v>93845138</v>
      </c>
    </row>
    <row r="12" customFormat="false" ht="14.25" hidden="false" customHeight="false" outlineLevel="0" collapsed="false">
      <c r="A12" s="28" t="s">
        <v>52</v>
      </c>
      <c r="B12" s="28" t="s">
        <v>21</v>
      </c>
      <c r="C12" s="28" t="s">
        <v>53</v>
      </c>
      <c r="D12" s="28" t="s">
        <v>54</v>
      </c>
      <c r="E12" s="28" t="n">
        <v>65485134</v>
      </c>
    </row>
    <row r="13" customFormat="false" ht="14.25" hidden="false" customHeight="false" outlineLevel="0" collapsed="false">
      <c r="A13" s="28" t="s">
        <v>55</v>
      </c>
      <c r="B13" s="28" t="s">
        <v>56</v>
      </c>
      <c r="C13" s="28" t="s">
        <v>57</v>
      </c>
      <c r="D13" s="28" t="s">
        <v>58</v>
      </c>
      <c r="E13" s="28" t="s">
        <v>59</v>
      </c>
    </row>
    <row r="14" customFormat="false" ht="14.25" hidden="false" customHeight="false" outlineLevel="0" collapsed="false">
      <c r="A14" s="28" t="s">
        <v>62</v>
      </c>
      <c r="B14" s="28" t="s">
        <v>25</v>
      </c>
      <c r="C14" s="28" t="s">
        <v>63</v>
      </c>
      <c r="D14" s="28" t="s">
        <v>64</v>
      </c>
      <c r="E14" s="28" t="s">
        <v>59</v>
      </c>
    </row>
    <row r="15" customFormat="false" ht="14.25" hidden="false" customHeight="false" outlineLevel="0" collapsed="false">
      <c r="A15" s="28" t="s">
        <v>60</v>
      </c>
      <c r="B15" s="28" t="s">
        <v>39</v>
      </c>
      <c r="C15" s="28"/>
      <c r="D15" s="28" t="s">
        <v>61</v>
      </c>
      <c r="E15" s="28" t="s">
        <v>59</v>
      </c>
    </row>
    <row r="16" customFormat="false" ht="14.25" hidden="false" customHeight="false" outlineLevel="0" collapsed="false">
      <c r="A16" s="28" t="s">
        <v>66</v>
      </c>
      <c r="B16" s="28" t="s">
        <v>67</v>
      </c>
      <c r="C16" s="28" t="s">
        <v>68</v>
      </c>
      <c r="D16" s="28" t="s">
        <v>69</v>
      </c>
      <c r="E16" s="28" t="s">
        <v>59</v>
      </c>
    </row>
    <row r="17" customFormat="false" ht="14.25" hidden="false" customHeight="false" outlineLevel="0" collapsed="false">
      <c r="A17" s="28" t="s">
        <v>70</v>
      </c>
      <c r="B17" s="28" t="s">
        <v>28</v>
      </c>
      <c r="C17" s="28" t="s">
        <v>71</v>
      </c>
      <c r="D17" s="28" t="s">
        <v>72</v>
      </c>
      <c r="E17" s="28" t="n">
        <v>65229271</v>
      </c>
    </row>
    <row r="18" customFormat="false" ht="14.25" hidden="false" customHeight="false" outlineLevel="0" collapsed="false">
      <c r="A18" s="28" t="s">
        <v>73</v>
      </c>
      <c r="B18" s="28" t="s">
        <v>28</v>
      </c>
      <c r="C18" s="28" t="s">
        <v>74</v>
      </c>
      <c r="D18" s="28" t="s">
        <v>75</v>
      </c>
      <c r="E18" s="28" t="n">
        <v>27660562</v>
      </c>
    </row>
    <row r="19" customFormat="false" ht="14.25" hidden="false" customHeight="false" outlineLevel="0" collapsed="false">
      <c r="A19" s="28" t="s">
        <v>76</v>
      </c>
      <c r="B19" s="28" t="s">
        <v>77</v>
      </c>
      <c r="C19" s="28"/>
      <c r="D19" s="28" t="s">
        <v>78</v>
      </c>
      <c r="E19" s="28"/>
    </row>
    <row r="20" customFormat="false" ht="14.25" hidden="false" customHeight="false" outlineLevel="0" collapsed="false">
      <c r="A20" s="28" t="s">
        <v>87</v>
      </c>
      <c r="B20" s="28" t="s">
        <v>28</v>
      </c>
      <c r="C20" s="28" t="s">
        <v>88</v>
      </c>
      <c r="D20" s="28" t="s">
        <v>89</v>
      </c>
      <c r="E20" s="28" t="n">
        <v>65188125</v>
      </c>
    </row>
    <row r="21" customFormat="false" ht="14.25" hidden="false" customHeight="false" outlineLevel="0" collapsed="false">
      <c r="A21" s="28" t="s">
        <v>90</v>
      </c>
      <c r="B21" s="28" t="s">
        <v>28</v>
      </c>
      <c r="C21" s="28" t="s">
        <v>91</v>
      </c>
      <c r="D21" s="28" t="s">
        <v>92</v>
      </c>
      <c r="E21" s="28" t="n">
        <v>65585930</v>
      </c>
    </row>
    <row r="22" customFormat="false" ht="14.25" hidden="false" customHeight="false" outlineLevel="0" collapsed="false">
      <c r="A22" s="28" t="s">
        <v>80</v>
      </c>
      <c r="B22" s="28" t="s">
        <v>21</v>
      </c>
      <c r="C22" s="28" t="s">
        <v>81</v>
      </c>
      <c r="D22" s="28" t="s">
        <v>82</v>
      </c>
      <c r="E22" s="28" t="n">
        <v>3615771</v>
      </c>
    </row>
    <row r="23" customFormat="false" ht="14.25" hidden="false" customHeight="false" outlineLevel="0" collapsed="false">
      <c r="A23" s="28" t="s">
        <v>83</v>
      </c>
      <c r="B23" s="28" t="s">
        <v>84</v>
      </c>
      <c r="C23" s="28" t="s">
        <v>85</v>
      </c>
      <c r="D23" s="28" t="s">
        <v>86</v>
      </c>
      <c r="E23" s="28"/>
    </row>
    <row r="24" customFormat="false" ht="14.25" hidden="false" customHeight="false" outlineLevel="0" collapsed="false">
      <c r="A24" s="28" t="s">
        <v>105</v>
      </c>
      <c r="B24" s="28" t="s">
        <v>102</v>
      </c>
      <c r="C24" s="28" t="s">
        <v>106</v>
      </c>
      <c r="D24" s="28" t="s">
        <v>107</v>
      </c>
      <c r="E24" s="28" t="n">
        <v>65628895</v>
      </c>
    </row>
    <row r="25" customFormat="false" ht="14.25" hidden="false" customHeight="false" outlineLevel="0" collapsed="false">
      <c r="A25" s="28" t="s">
        <v>101</v>
      </c>
      <c r="B25" s="28" t="s">
        <v>102</v>
      </c>
      <c r="C25" s="28" t="s">
        <v>103</v>
      </c>
      <c r="D25" s="28" t="s">
        <v>104</v>
      </c>
      <c r="E25" s="28" t="n">
        <v>21652072</v>
      </c>
    </row>
    <row r="26" customFormat="false" ht="14.25" hidden="false" customHeight="false" outlineLevel="0" collapsed="false">
      <c r="A26" s="28" t="s">
        <v>94</v>
      </c>
      <c r="B26" s="28" t="s">
        <v>39</v>
      </c>
      <c r="C26" s="28"/>
      <c r="D26" s="28" t="s">
        <v>95</v>
      </c>
      <c r="E26" s="28" t="s">
        <v>96</v>
      </c>
    </row>
    <row r="27" customFormat="false" ht="14.25" hidden="false" customHeight="false" outlineLevel="0" collapsed="false">
      <c r="A27" s="28" t="s">
        <v>108</v>
      </c>
      <c r="B27" s="28" t="s">
        <v>56</v>
      </c>
      <c r="C27" s="28"/>
      <c r="D27" s="28" t="s">
        <v>110</v>
      </c>
      <c r="E27" s="28"/>
    </row>
    <row r="28" customFormat="false" ht="14.25" hidden="false" customHeight="false" outlineLevel="0" collapsed="false">
      <c r="A28" s="28" t="s">
        <v>97</v>
      </c>
      <c r="B28" s="28" t="s">
        <v>98</v>
      </c>
      <c r="C28" s="28" t="s">
        <v>99</v>
      </c>
      <c r="D28" s="28" t="s">
        <v>100</v>
      </c>
      <c r="E28" s="28" t="n">
        <v>92216916</v>
      </c>
    </row>
    <row r="29" customFormat="false" ht="14.25" hidden="false" customHeight="false" outlineLevel="0" collapsed="false">
      <c r="A29" s="28" t="s">
        <v>117</v>
      </c>
      <c r="B29" s="28" t="s">
        <v>28</v>
      </c>
      <c r="C29" s="28" t="s">
        <v>118</v>
      </c>
      <c r="D29" s="28" t="s">
        <v>119</v>
      </c>
      <c r="E29" s="28" t="n">
        <v>65573020</v>
      </c>
    </row>
    <row r="30" customFormat="false" ht="14.25" hidden="false" customHeight="false" outlineLevel="0" collapsed="false">
      <c r="A30" s="28" t="s">
        <v>120</v>
      </c>
      <c r="B30" s="28" t="s">
        <v>28</v>
      </c>
      <c r="C30" s="28" t="s">
        <v>121</v>
      </c>
      <c r="D30" s="28" t="s">
        <v>122</v>
      </c>
      <c r="E30" s="28" t="n">
        <v>65301488</v>
      </c>
    </row>
    <row r="31" customFormat="false" ht="14.25" hidden="false" customHeight="false" outlineLevel="0" collapsed="false">
      <c r="A31" s="28" t="s">
        <v>113</v>
      </c>
      <c r="B31" s="28" t="s">
        <v>114</v>
      </c>
      <c r="C31" s="28" t="s">
        <v>115</v>
      </c>
      <c r="D31" s="28" t="s">
        <v>116</v>
      </c>
      <c r="E31" s="28"/>
    </row>
    <row r="32" customFormat="false" ht="14.25" hidden="false" customHeight="false" outlineLevel="0" collapsed="false">
      <c r="A32" s="28" t="s">
        <v>134</v>
      </c>
      <c r="B32" s="28" t="s">
        <v>135</v>
      </c>
      <c r="C32" s="28"/>
      <c r="D32" s="28" t="s">
        <v>137</v>
      </c>
      <c r="E32" s="28"/>
    </row>
    <row r="33" customFormat="false" ht="14.25" hidden="false" customHeight="false" outlineLevel="0" collapsed="false">
      <c r="A33" s="28" t="s">
        <v>131</v>
      </c>
      <c r="B33" s="28" t="s">
        <v>56</v>
      </c>
      <c r="C33" s="28"/>
      <c r="D33" s="28" t="s">
        <v>133</v>
      </c>
      <c r="E33" s="28"/>
    </row>
    <row r="34" customFormat="false" ht="14.25" hidden="false" customHeight="false" outlineLevel="0" collapsed="false">
      <c r="A34" s="28" t="s">
        <v>127</v>
      </c>
      <c r="B34" s="28" t="s">
        <v>128</v>
      </c>
      <c r="C34" s="28"/>
      <c r="D34" s="28" t="s">
        <v>130</v>
      </c>
      <c r="E34" s="28"/>
    </row>
    <row r="35" customFormat="false" ht="14.25" hidden="false" customHeight="false" outlineLevel="0" collapsed="false">
      <c r="A35" s="28" t="s">
        <v>138</v>
      </c>
      <c r="B35" s="28" t="s">
        <v>128</v>
      </c>
      <c r="C35" s="28"/>
      <c r="D35" s="28" t="s">
        <v>140</v>
      </c>
      <c r="E35" s="28"/>
    </row>
    <row r="36" customFormat="false" ht="14.25" hidden="false" customHeight="false" outlineLevel="0" collapsed="false">
      <c r="A36" s="28" t="s">
        <v>145</v>
      </c>
      <c r="B36" s="28" t="s">
        <v>25</v>
      </c>
      <c r="C36" s="28" t="s">
        <v>146</v>
      </c>
      <c r="D36" s="28" t="s">
        <v>147</v>
      </c>
      <c r="E36" s="28"/>
    </row>
    <row r="37" customFormat="false" ht="14.25" hidden="false" customHeight="false" outlineLevel="0" collapsed="false">
      <c r="A37" s="28" t="s">
        <v>142</v>
      </c>
      <c r="B37" s="28" t="s">
        <v>143</v>
      </c>
      <c r="C37" s="28" t="s">
        <v>118</v>
      </c>
      <c r="D37" s="28" t="s">
        <v>119</v>
      </c>
      <c r="E37" s="28" t="s">
        <v>144</v>
      </c>
    </row>
    <row r="38" customFormat="false" ht="14.25" hidden="false" customHeight="false" outlineLevel="0" collapsed="false">
      <c r="A38" s="28" t="s">
        <v>152</v>
      </c>
      <c r="B38" s="28" t="s">
        <v>28</v>
      </c>
      <c r="C38" s="28" t="s">
        <v>153</v>
      </c>
      <c r="D38" s="28" t="s">
        <v>154</v>
      </c>
      <c r="E38" s="28" t="n">
        <v>65564184</v>
      </c>
    </row>
    <row r="39" customFormat="false" ht="14.25" hidden="false" customHeight="false" outlineLevel="0" collapsed="false">
      <c r="A39" s="28" t="s">
        <v>148</v>
      </c>
      <c r="B39" s="28" t="s">
        <v>149</v>
      </c>
      <c r="C39" s="28" t="s">
        <v>150</v>
      </c>
      <c r="D39" s="28" t="s">
        <v>151</v>
      </c>
      <c r="E39" s="28" t="n">
        <v>69947784</v>
      </c>
    </row>
    <row r="40" customFormat="false" ht="14.25" hidden="false" customHeight="false" outlineLevel="0" collapsed="false">
      <c r="A40" s="28" t="s">
        <v>171</v>
      </c>
      <c r="B40" s="28" t="s">
        <v>25</v>
      </c>
      <c r="C40" s="28" t="s">
        <v>172</v>
      </c>
      <c r="D40" s="28" t="s">
        <v>173</v>
      </c>
      <c r="E40" s="28"/>
    </row>
    <row r="41" customFormat="false" ht="14.25" hidden="false" customHeight="false" outlineLevel="0" collapsed="false">
      <c r="A41" s="28" t="s">
        <v>196</v>
      </c>
      <c r="B41" s="28" t="s">
        <v>197</v>
      </c>
      <c r="C41" s="28" t="s">
        <v>198</v>
      </c>
      <c r="D41" s="28" t="s">
        <v>199</v>
      </c>
      <c r="E41" s="28"/>
    </row>
    <row r="42" customFormat="false" ht="14.25" hidden="false" customHeight="false" outlineLevel="0" collapsed="false">
      <c r="A42" s="28" t="s">
        <v>200</v>
      </c>
      <c r="B42" s="28" t="s">
        <v>21</v>
      </c>
      <c r="C42" s="28" t="s">
        <v>201</v>
      </c>
      <c r="D42" s="28" t="s">
        <v>202</v>
      </c>
      <c r="E42" s="28" t="n">
        <v>99253758</v>
      </c>
    </row>
    <row r="43" customFormat="false" ht="14.25" hidden="false" customHeight="false" outlineLevel="0" collapsed="false">
      <c r="A43" s="28" t="s">
        <v>203</v>
      </c>
      <c r="B43" s="28" t="s">
        <v>204</v>
      </c>
      <c r="C43" s="28" t="s">
        <v>205</v>
      </c>
      <c r="D43" s="28" t="s">
        <v>206</v>
      </c>
      <c r="E43" s="28"/>
    </row>
    <row r="44" customFormat="false" ht="14.25" hidden="false" customHeight="false" outlineLevel="0" collapsed="false">
      <c r="A44" s="28" t="s">
        <v>501</v>
      </c>
      <c r="B44" s="28" t="s">
        <v>193</v>
      </c>
      <c r="C44" s="28" t="s">
        <v>194</v>
      </c>
      <c r="D44" s="28" t="n">
        <v>192168118145</v>
      </c>
      <c r="E44" s="28"/>
    </row>
    <row r="45" customFormat="false" ht="14.25" hidden="false" customHeight="false" outlineLevel="0" collapsed="false">
      <c r="A45" s="28" t="s">
        <v>178</v>
      </c>
      <c r="B45" s="28" t="s">
        <v>179</v>
      </c>
      <c r="C45" s="28" t="s">
        <v>180</v>
      </c>
      <c r="D45" s="28" t="s">
        <v>181</v>
      </c>
      <c r="E45" s="28" t="n">
        <v>92468001</v>
      </c>
    </row>
    <row r="46" customFormat="false" ht="14.25" hidden="false" customHeight="false" outlineLevel="0" collapsed="false">
      <c r="A46" s="28" t="s">
        <v>213</v>
      </c>
      <c r="B46" s="28" t="s">
        <v>21</v>
      </c>
      <c r="C46" s="28" t="s">
        <v>214</v>
      </c>
      <c r="D46" s="28" t="s">
        <v>215</v>
      </c>
      <c r="E46" s="28" t="n">
        <v>93689844</v>
      </c>
    </row>
    <row r="47" customFormat="false" ht="14.25" hidden="false" customHeight="false" outlineLevel="0" collapsed="false">
      <c r="A47" s="28" t="s">
        <v>210</v>
      </c>
      <c r="B47" s="28" t="s">
        <v>25</v>
      </c>
      <c r="C47" s="28" t="s">
        <v>211</v>
      </c>
      <c r="D47" s="28" t="s">
        <v>212</v>
      </c>
      <c r="E47" s="28"/>
    </row>
    <row r="48" customFormat="false" ht="14.25" hidden="false" customHeight="false" outlineLevel="0" collapsed="false">
      <c r="A48" s="28" t="s">
        <v>219</v>
      </c>
      <c r="B48" s="28" t="s">
        <v>114</v>
      </c>
      <c r="C48" s="28" t="s">
        <v>220</v>
      </c>
      <c r="D48" s="28" t="s">
        <v>221</v>
      </c>
      <c r="E48" s="28"/>
    </row>
    <row r="49" customFormat="false" ht="14.25" hidden="false" customHeight="false" outlineLevel="0" collapsed="false">
      <c r="A49" s="28" t="s">
        <v>174</v>
      </c>
      <c r="B49" s="28" t="s">
        <v>175</v>
      </c>
      <c r="C49" s="28" t="s">
        <v>176</v>
      </c>
      <c r="D49" s="28" t="s">
        <v>177</v>
      </c>
      <c r="E49" s="28"/>
    </row>
    <row r="50" customFormat="false" ht="14.25" hidden="false" customHeight="false" outlineLevel="0" collapsed="false">
      <c r="A50" s="28" t="s">
        <v>185</v>
      </c>
      <c r="B50" s="28" t="s">
        <v>114</v>
      </c>
      <c r="C50" s="28" t="s">
        <v>186</v>
      </c>
      <c r="D50" s="28" t="s">
        <v>187</v>
      </c>
      <c r="E50" s="28"/>
    </row>
    <row r="51" customFormat="false" ht="14.25" hidden="false" customHeight="false" outlineLevel="0" collapsed="false">
      <c r="A51" s="28" t="s">
        <v>182</v>
      </c>
      <c r="B51" s="28" t="s">
        <v>21</v>
      </c>
      <c r="C51" s="28" t="s">
        <v>183</v>
      </c>
      <c r="D51" s="28" t="n">
        <v>192168118217</v>
      </c>
      <c r="E51" s="28" t="s">
        <v>144</v>
      </c>
    </row>
    <row r="52" customFormat="false" ht="14.25" hidden="false" customHeight="false" outlineLevel="0" collapsed="false">
      <c r="A52" s="28" t="s">
        <v>226</v>
      </c>
      <c r="B52" s="28" t="s">
        <v>227</v>
      </c>
      <c r="C52" s="28" t="s">
        <v>228</v>
      </c>
      <c r="D52" s="28" t="n">
        <v>192168118215</v>
      </c>
      <c r="E52" s="28"/>
    </row>
    <row r="53" customFormat="false" ht="14.25" hidden="false" customHeight="false" outlineLevel="0" collapsed="false">
      <c r="A53" s="28" t="s">
        <v>216</v>
      </c>
      <c r="B53" s="28" t="s">
        <v>189</v>
      </c>
      <c r="C53" s="28" t="s">
        <v>217</v>
      </c>
      <c r="D53" s="28" t="s">
        <v>218</v>
      </c>
      <c r="E53" s="28" t="s">
        <v>144</v>
      </c>
    </row>
    <row r="54" customFormat="false" ht="14.25" hidden="false" customHeight="false" outlineLevel="0" collapsed="false">
      <c r="A54" s="28" t="s">
        <v>222</v>
      </c>
      <c r="B54" s="28" t="s">
        <v>223</v>
      </c>
      <c r="C54" s="28" t="s">
        <v>224</v>
      </c>
      <c r="D54" s="28" t="s">
        <v>225</v>
      </c>
      <c r="E54" s="28"/>
    </row>
    <row r="55" customFormat="false" ht="14.25" hidden="false" customHeight="false" outlineLevel="0" collapsed="false">
      <c r="A55" s="28" t="s">
        <v>188</v>
      </c>
      <c r="B55" s="28" t="s">
        <v>189</v>
      </c>
      <c r="C55" s="28" t="s">
        <v>190</v>
      </c>
      <c r="D55" s="28" t="s">
        <v>191</v>
      </c>
      <c r="E55" s="28"/>
    </row>
    <row r="56" customFormat="false" ht="14.25" hidden="false" customHeight="false" outlineLevel="0" collapsed="false">
      <c r="A56" s="28" t="s">
        <v>207</v>
      </c>
      <c r="B56" s="28" t="s">
        <v>77</v>
      </c>
      <c r="C56" s="28" t="s">
        <v>208</v>
      </c>
      <c r="D56" s="28" t="s">
        <v>209</v>
      </c>
      <c r="E56" s="28"/>
    </row>
    <row r="57" customFormat="false" ht="14.25" hidden="false" customHeight="false" outlineLevel="0" collapsed="false">
      <c r="A57" s="28" t="s">
        <v>233</v>
      </c>
      <c r="B57" s="28" t="s">
        <v>28</v>
      </c>
      <c r="C57" s="28" t="s">
        <v>234</v>
      </c>
      <c r="D57" s="28" t="s">
        <v>235</v>
      </c>
      <c r="E57" s="28" t="n">
        <v>65637909</v>
      </c>
    </row>
    <row r="58" customFormat="false" ht="14.25" hidden="false" customHeight="false" outlineLevel="0" collapsed="false">
      <c r="A58" s="28" t="s">
        <v>236</v>
      </c>
      <c r="B58" s="28" t="s">
        <v>28</v>
      </c>
      <c r="C58" s="28" t="s">
        <v>237</v>
      </c>
      <c r="D58" s="28" t="s">
        <v>238</v>
      </c>
      <c r="E58" s="28" t="n">
        <v>21622299</v>
      </c>
    </row>
    <row r="59" customFormat="false" ht="14.25" hidden="false" customHeight="false" outlineLevel="0" collapsed="false">
      <c r="A59" s="28" t="s">
        <v>230</v>
      </c>
      <c r="B59" s="28" t="s">
        <v>98</v>
      </c>
      <c r="C59" s="28" t="s">
        <v>231</v>
      </c>
      <c r="D59" s="28" t="s">
        <v>232</v>
      </c>
      <c r="E59" s="28"/>
    </row>
    <row r="60" customFormat="false" ht="14.25" hidden="false" customHeight="false" outlineLevel="0" collapsed="false">
      <c r="A60" s="28" t="s">
        <v>251</v>
      </c>
      <c r="B60" s="28" t="s">
        <v>98</v>
      </c>
      <c r="C60" s="28" t="s">
        <v>252</v>
      </c>
      <c r="D60" s="28" t="s">
        <v>253</v>
      </c>
      <c r="E60" s="28"/>
    </row>
    <row r="61" customFormat="false" ht="14.25" hidden="false" customHeight="false" outlineLevel="0" collapsed="false">
      <c r="A61" s="28" t="s">
        <v>241</v>
      </c>
      <c r="B61" s="28" t="s">
        <v>28</v>
      </c>
      <c r="C61" s="28" t="s">
        <v>242</v>
      </c>
      <c r="D61" s="28" t="s">
        <v>243</v>
      </c>
      <c r="E61" s="28" t="n">
        <v>65545428</v>
      </c>
    </row>
    <row r="62" customFormat="false" ht="14.25" hidden="false" customHeight="false" outlineLevel="0" collapsed="false">
      <c r="A62" s="28" t="s">
        <v>244</v>
      </c>
      <c r="B62" s="28" t="s">
        <v>28</v>
      </c>
      <c r="C62" s="28" t="s">
        <v>245</v>
      </c>
      <c r="D62" s="28" t="s">
        <v>246</v>
      </c>
      <c r="E62" s="28" t="n">
        <v>99128754</v>
      </c>
    </row>
    <row r="63" customFormat="false" ht="14.25" hidden="false" customHeight="false" outlineLevel="0" collapsed="false">
      <c r="A63" s="28" t="s">
        <v>254</v>
      </c>
      <c r="B63" s="28"/>
      <c r="C63" s="28"/>
      <c r="D63" s="28" t="s">
        <v>255</v>
      </c>
      <c r="E63" s="28" t="s">
        <v>26</v>
      </c>
    </row>
    <row r="64" customFormat="false" ht="14.25" hidden="false" customHeight="false" outlineLevel="0" collapsed="false">
      <c r="A64" s="28" t="s">
        <v>247</v>
      </c>
      <c r="B64" s="28" t="s">
        <v>248</v>
      </c>
      <c r="C64" s="28" t="s">
        <v>249</v>
      </c>
      <c r="D64" s="28" t="s">
        <v>250</v>
      </c>
      <c r="E64" s="28"/>
    </row>
    <row r="65" customFormat="false" ht="14.25" hidden="false" customHeight="false" outlineLevel="0" collapsed="false">
      <c r="A65" s="28" t="s">
        <v>296</v>
      </c>
      <c r="B65" s="28" t="s">
        <v>39</v>
      </c>
      <c r="C65" s="28" t="s">
        <v>297</v>
      </c>
      <c r="D65" s="28" t="s">
        <v>298</v>
      </c>
      <c r="E65" s="28"/>
    </row>
    <row r="66" customFormat="false" ht="14.25" hidden="false" customHeight="false" outlineLevel="0" collapsed="false">
      <c r="A66" s="28" t="s">
        <v>275</v>
      </c>
      <c r="B66" s="28" t="s">
        <v>77</v>
      </c>
      <c r="C66" s="28" t="s">
        <v>276</v>
      </c>
      <c r="D66" s="28" t="s">
        <v>277</v>
      </c>
      <c r="E66" s="28"/>
    </row>
    <row r="67" customFormat="false" ht="14.25" hidden="false" customHeight="false" outlineLevel="0" collapsed="false">
      <c r="A67" s="28" t="s">
        <v>278</v>
      </c>
      <c r="B67" s="28" t="s">
        <v>28</v>
      </c>
      <c r="C67" s="28" t="s">
        <v>279</v>
      </c>
      <c r="D67" s="28" t="s">
        <v>280</v>
      </c>
      <c r="E67" s="28" t="n">
        <v>21624835</v>
      </c>
    </row>
    <row r="68" customFormat="false" ht="14.25" hidden="false" customHeight="false" outlineLevel="0" collapsed="false">
      <c r="A68" s="28" t="s">
        <v>281</v>
      </c>
      <c r="B68" s="28" t="s">
        <v>28</v>
      </c>
      <c r="C68" s="28" t="s">
        <v>282</v>
      </c>
      <c r="D68" s="28" t="s">
        <v>283</v>
      </c>
      <c r="E68" s="28" t="n">
        <v>98910612</v>
      </c>
    </row>
    <row r="69" customFormat="false" ht="14.25" hidden="false" customHeight="false" outlineLevel="0" collapsed="false">
      <c r="A69" s="28" t="s">
        <v>284</v>
      </c>
      <c r="B69" s="28" t="s">
        <v>28</v>
      </c>
      <c r="C69" s="28" t="s">
        <v>285</v>
      </c>
      <c r="D69" s="28" t="s">
        <v>286</v>
      </c>
      <c r="E69" s="28" t="n">
        <v>21914232</v>
      </c>
    </row>
    <row r="70" customFormat="false" ht="14.25" hidden="false" customHeight="false" outlineLevel="0" collapsed="false">
      <c r="A70" s="28" t="s">
        <v>287</v>
      </c>
      <c r="B70" s="28" t="s">
        <v>28</v>
      </c>
      <c r="C70" s="28" t="s">
        <v>288</v>
      </c>
      <c r="D70" s="28" t="s">
        <v>289</v>
      </c>
      <c r="E70" s="28" t="n">
        <v>10304792</v>
      </c>
    </row>
    <row r="71" customFormat="false" ht="14.25" hidden="false" customHeight="false" outlineLevel="0" collapsed="false">
      <c r="A71" s="28" t="s">
        <v>290</v>
      </c>
      <c r="B71" s="28" t="s">
        <v>28</v>
      </c>
      <c r="C71" s="28" t="s">
        <v>291</v>
      </c>
      <c r="D71" s="28" t="s">
        <v>292</v>
      </c>
      <c r="E71" s="28" t="n">
        <v>99147736</v>
      </c>
    </row>
    <row r="72" customFormat="false" ht="14.25" hidden="false" customHeight="false" outlineLevel="0" collapsed="false">
      <c r="A72" s="28" t="s">
        <v>293</v>
      </c>
      <c r="B72" s="28" t="s">
        <v>114</v>
      </c>
      <c r="C72" s="28" t="s">
        <v>294</v>
      </c>
      <c r="D72" s="28" t="s">
        <v>295</v>
      </c>
      <c r="E72" s="28"/>
    </row>
    <row r="73" customFormat="false" ht="23.85" hidden="false" customHeight="false" outlineLevel="0" collapsed="false">
      <c r="A73" s="28" t="s">
        <v>299</v>
      </c>
      <c r="B73" s="28" t="s">
        <v>300</v>
      </c>
      <c r="C73" s="28" t="s">
        <v>301</v>
      </c>
      <c r="D73" s="28" t="s">
        <v>302</v>
      </c>
      <c r="E73" s="28"/>
    </row>
    <row r="74" customFormat="false" ht="14.25" hidden="false" customHeight="false" outlineLevel="0" collapsed="false">
      <c r="A74" s="28" t="s">
        <v>303</v>
      </c>
      <c r="B74" s="28" t="s">
        <v>304</v>
      </c>
      <c r="C74" s="28" t="s">
        <v>305</v>
      </c>
      <c r="D74" s="28" t="s">
        <v>502</v>
      </c>
      <c r="E74" s="28"/>
    </row>
    <row r="75" customFormat="false" ht="14.25" hidden="false" customHeight="false" outlineLevel="0" collapsed="false">
      <c r="A75" s="28" t="s">
        <v>307</v>
      </c>
      <c r="B75" s="28" t="s">
        <v>308</v>
      </c>
      <c r="C75" s="28"/>
      <c r="D75" s="28" t="s">
        <v>309</v>
      </c>
      <c r="E75" s="28" t="s">
        <v>310</v>
      </c>
    </row>
    <row r="76" customFormat="false" ht="14.25" hidden="false" customHeight="false" outlineLevel="0" collapsed="false">
      <c r="A76" s="28" t="s">
        <v>311</v>
      </c>
      <c r="B76" s="28" t="s">
        <v>165</v>
      </c>
      <c r="C76" s="28" t="s">
        <v>312</v>
      </c>
      <c r="D76" s="28" t="s">
        <v>313</v>
      </c>
      <c r="E76" s="28"/>
    </row>
    <row r="77" customFormat="false" ht="14.25" hidden="false" customHeight="false" outlineLevel="0" collapsed="false">
      <c r="A77" s="28" t="s">
        <v>367</v>
      </c>
      <c r="B77" s="28" t="s">
        <v>165</v>
      </c>
      <c r="C77" s="28" t="s">
        <v>368</v>
      </c>
      <c r="D77" s="28" t="s">
        <v>369</v>
      </c>
      <c r="E77" s="28"/>
    </row>
    <row r="78" customFormat="false" ht="14.25" hidden="false" customHeight="false" outlineLevel="0" collapsed="false">
      <c r="A78" s="28" t="s">
        <v>409</v>
      </c>
      <c r="B78" s="28" t="s">
        <v>165</v>
      </c>
      <c r="C78" s="28" t="s">
        <v>410</v>
      </c>
      <c r="D78" s="28" t="s">
        <v>411</v>
      </c>
      <c r="E78" s="28"/>
    </row>
    <row r="79" customFormat="false" ht="14.25" hidden="false" customHeight="false" outlineLevel="0" collapsed="false">
      <c r="A79" s="28" t="s">
        <v>333</v>
      </c>
      <c r="B79" s="28" t="s">
        <v>334</v>
      </c>
      <c r="C79" s="28" t="s">
        <v>335</v>
      </c>
      <c r="D79" s="28" t="s">
        <v>336</v>
      </c>
      <c r="E79" s="28" t="n">
        <v>60057273</v>
      </c>
    </row>
    <row r="80" customFormat="false" ht="14.25" hidden="false" customHeight="false" outlineLevel="0" collapsed="false">
      <c r="A80" s="28" t="s">
        <v>337</v>
      </c>
      <c r="B80" s="28" t="s">
        <v>114</v>
      </c>
      <c r="C80" s="28" t="s">
        <v>338</v>
      </c>
      <c r="D80" s="28" t="s">
        <v>339</v>
      </c>
      <c r="E80" s="28"/>
    </row>
    <row r="81" customFormat="false" ht="14.25" hidden="false" customHeight="false" outlineLevel="0" collapsed="false">
      <c r="A81" s="28" t="s">
        <v>322</v>
      </c>
      <c r="B81" s="28" t="s">
        <v>323</v>
      </c>
      <c r="C81" s="28" t="s">
        <v>324</v>
      </c>
      <c r="D81" s="28" t="s">
        <v>325</v>
      </c>
      <c r="E81" s="28"/>
    </row>
    <row r="82" customFormat="false" ht="14.25" hidden="false" customHeight="false" outlineLevel="0" collapsed="false">
      <c r="A82" s="28" t="s">
        <v>326</v>
      </c>
      <c r="B82" s="28" t="s">
        <v>327</v>
      </c>
      <c r="C82" s="28" t="s">
        <v>328</v>
      </c>
      <c r="D82" s="28" t="s">
        <v>329</v>
      </c>
      <c r="E82" s="28"/>
    </row>
    <row r="83" customFormat="false" ht="14.25" hidden="false" customHeight="false" outlineLevel="0" collapsed="false">
      <c r="A83" s="28" t="s">
        <v>330</v>
      </c>
      <c r="B83" s="28" t="s">
        <v>39</v>
      </c>
      <c r="C83" s="28" t="s">
        <v>331</v>
      </c>
      <c r="D83" s="28" t="s">
        <v>332</v>
      </c>
      <c r="E83" s="28"/>
    </row>
    <row r="84" customFormat="false" ht="14.25" hidden="false" customHeight="false" outlineLevel="0" collapsed="false">
      <c r="A84" s="28" t="s">
        <v>347</v>
      </c>
      <c r="B84" s="28" t="s">
        <v>98</v>
      </c>
      <c r="C84" s="28" t="s">
        <v>348</v>
      </c>
      <c r="D84" s="28" t="s">
        <v>349</v>
      </c>
      <c r="E84" s="28"/>
    </row>
    <row r="85" customFormat="false" ht="14.25" hidden="false" customHeight="false" outlineLevel="0" collapsed="false">
      <c r="A85" s="28" t="s">
        <v>342</v>
      </c>
      <c r="B85" s="28" t="s">
        <v>165</v>
      </c>
      <c r="C85" s="28" t="s">
        <v>328</v>
      </c>
      <c r="D85" s="28" t="s">
        <v>329</v>
      </c>
      <c r="E85" s="28"/>
    </row>
    <row r="86" customFormat="false" ht="14.25" hidden="false" customHeight="false" outlineLevel="0" collapsed="false">
      <c r="A86" s="28" t="s">
        <v>343</v>
      </c>
      <c r="B86" s="28" t="s">
        <v>344</v>
      </c>
      <c r="C86" s="28" t="s">
        <v>345</v>
      </c>
      <c r="D86" s="28" t="s">
        <v>346</v>
      </c>
      <c r="E86" s="28"/>
    </row>
    <row r="87" customFormat="false" ht="14.25" hidden="false" customHeight="false" outlineLevel="0" collapsed="false">
      <c r="A87" s="28" t="s">
        <v>354</v>
      </c>
      <c r="B87" s="28" t="s">
        <v>114</v>
      </c>
      <c r="C87" s="28" t="s">
        <v>355</v>
      </c>
      <c r="D87" s="28" t="s">
        <v>356</v>
      </c>
      <c r="E87" s="28"/>
    </row>
    <row r="88" customFormat="false" ht="14.25" hidden="false" customHeight="false" outlineLevel="0" collapsed="false">
      <c r="A88" s="28" t="s">
        <v>350</v>
      </c>
      <c r="B88" s="28" t="s">
        <v>351</v>
      </c>
      <c r="C88" s="28" t="s">
        <v>352</v>
      </c>
      <c r="D88" s="28" t="s">
        <v>353</v>
      </c>
      <c r="E88" s="28"/>
    </row>
    <row r="89" customFormat="false" ht="14.25" hidden="false" customHeight="false" outlineLevel="0" collapsed="false">
      <c r="A89" s="28" t="s">
        <v>357</v>
      </c>
      <c r="B89" s="28" t="s">
        <v>358</v>
      </c>
      <c r="C89" s="28" t="s">
        <v>359</v>
      </c>
      <c r="D89" s="28" t="s">
        <v>360</v>
      </c>
      <c r="E89" s="28" t="n">
        <v>57464858</v>
      </c>
    </row>
    <row r="90" customFormat="false" ht="14.25" hidden="false" customHeight="false" outlineLevel="0" collapsed="false">
      <c r="A90" s="28" t="s">
        <v>361</v>
      </c>
      <c r="B90" s="28" t="s">
        <v>25</v>
      </c>
      <c r="C90" s="28" t="s">
        <v>362</v>
      </c>
      <c r="D90" s="28" t="s">
        <v>363</v>
      </c>
      <c r="E90" s="28"/>
    </row>
    <row r="91" customFormat="false" ht="14.25" hidden="false" customHeight="false" outlineLevel="0" collapsed="false">
      <c r="A91" s="28" t="s">
        <v>364</v>
      </c>
      <c r="B91" s="28" t="s">
        <v>114</v>
      </c>
      <c r="C91" s="28" t="s">
        <v>365</v>
      </c>
      <c r="D91" s="28" t="s">
        <v>366</v>
      </c>
      <c r="E91" s="28"/>
    </row>
    <row r="92" customFormat="false" ht="14.25" hidden="false" customHeight="false" outlineLevel="0" collapsed="false">
      <c r="A92" s="28" t="s">
        <v>370</v>
      </c>
      <c r="B92" s="28" t="s">
        <v>114</v>
      </c>
      <c r="C92" s="28" t="s">
        <v>340</v>
      </c>
      <c r="D92" s="28" t="s">
        <v>341</v>
      </c>
      <c r="E92" s="28"/>
    </row>
    <row r="93" customFormat="false" ht="14.25" hidden="false" customHeight="false" outlineLevel="0" collapsed="false">
      <c r="A93" s="28" t="s">
        <v>371</v>
      </c>
      <c r="B93" s="28" t="s">
        <v>372</v>
      </c>
      <c r="C93" s="28" t="s">
        <v>373</v>
      </c>
      <c r="D93" s="28" t="s">
        <v>374</v>
      </c>
      <c r="E93" s="28" t="n">
        <v>70519226</v>
      </c>
    </row>
    <row r="94" customFormat="false" ht="14.25" hidden="false" customHeight="false" outlineLevel="0" collapsed="false">
      <c r="A94" s="28" t="s">
        <v>375</v>
      </c>
      <c r="B94" s="28" t="s">
        <v>39</v>
      </c>
      <c r="C94" s="28" t="s">
        <v>376</v>
      </c>
      <c r="D94" s="28" t="s">
        <v>377</v>
      </c>
      <c r="E94" s="28"/>
    </row>
    <row r="95" customFormat="false" ht="14.25" hidden="false" customHeight="false" outlineLevel="0" collapsed="false">
      <c r="A95" s="28" t="s">
        <v>378</v>
      </c>
      <c r="B95" s="28" t="s">
        <v>351</v>
      </c>
      <c r="C95" s="28" t="s">
        <v>379</v>
      </c>
      <c r="D95" s="28" t="s">
        <v>380</v>
      </c>
      <c r="E95" s="28"/>
    </row>
    <row r="96" customFormat="false" ht="14.25" hidden="false" customHeight="false" outlineLevel="0" collapsed="false">
      <c r="A96" s="28" t="s">
        <v>381</v>
      </c>
      <c r="B96" s="28" t="s">
        <v>382</v>
      </c>
      <c r="C96" s="28" t="s">
        <v>383</v>
      </c>
      <c r="D96" s="28" t="s">
        <v>159</v>
      </c>
      <c r="E96" s="28"/>
    </row>
    <row r="97" customFormat="false" ht="14.25" hidden="false" customHeight="false" outlineLevel="0" collapsed="false">
      <c r="A97" s="28" t="s">
        <v>388</v>
      </c>
      <c r="B97" s="28" t="s">
        <v>165</v>
      </c>
      <c r="C97" s="28" t="s">
        <v>389</v>
      </c>
      <c r="D97" s="28" t="s">
        <v>390</v>
      </c>
      <c r="E97" s="28"/>
    </row>
    <row r="98" customFormat="false" ht="14.25" hidden="false" customHeight="false" outlineLevel="0" collapsed="false">
      <c r="A98" s="28" t="s">
        <v>384</v>
      </c>
      <c r="B98" s="28" t="s">
        <v>385</v>
      </c>
      <c r="C98" s="28" t="s">
        <v>386</v>
      </c>
      <c r="D98" s="28" t="s">
        <v>387</v>
      </c>
      <c r="E98" s="28"/>
    </row>
    <row r="99" customFormat="false" ht="14.25" hidden="false" customHeight="false" outlineLevel="0" collapsed="false">
      <c r="A99" s="28" t="s">
        <v>391</v>
      </c>
      <c r="B99" s="28" t="s">
        <v>392</v>
      </c>
      <c r="C99" s="28" t="s">
        <v>393</v>
      </c>
      <c r="D99" s="28" t="s">
        <v>394</v>
      </c>
      <c r="E99" s="28"/>
    </row>
    <row r="100" customFormat="false" ht="14.25" hidden="false" customHeight="false" outlineLevel="0" collapsed="false">
      <c r="A100" s="28" t="s">
        <v>395</v>
      </c>
      <c r="B100" s="28" t="s">
        <v>67</v>
      </c>
      <c r="C100" s="28" t="s">
        <v>396</v>
      </c>
      <c r="D100" s="28" t="s">
        <v>397</v>
      </c>
      <c r="E100" s="28"/>
    </row>
    <row r="101" customFormat="false" ht="14.25" hidden="false" customHeight="false" outlineLevel="0" collapsed="false">
      <c r="A101" s="28" t="s">
        <v>399</v>
      </c>
      <c r="B101" s="28" t="s">
        <v>98</v>
      </c>
      <c r="C101" s="28" t="s">
        <v>400</v>
      </c>
      <c r="D101" s="28" t="s">
        <v>401</v>
      </c>
      <c r="E101" s="28"/>
    </row>
    <row r="102" customFormat="false" ht="14.25" hidden="false" customHeight="false" outlineLevel="0" collapsed="false">
      <c r="A102" s="28" t="s">
        <v>402</v>
      </c>
      <c r="B102" s="28" t="s">
        <v>403</v>
      </c>
      <c r="C102" s="28" t="s">
        <v>404</v>
      </c>
      <c r="D102" s="28" t="s">
        <v>405</v>
      </c>
      <c r="E102" s="28"/>
    </row>
    <row r="103" customFormat="false" ht="14.25" hidden="false" customHeight="false" outlineLevel="0" collapsed="false">
      <c r="A103" s="28" t="s">
        <v>422</v>
      </c>
      <c r="B103" s="28" t="s">
        <v>423</v>
      </c>
      <c r="C103" s="28" t="s">
        <v>424</v>
      </c>
      <c r="D103" s="28" t="s">
        <v>425</v>
      </c>
      <c r="E103" s="28"/>
    </row>
    <row r="104" customFormat="false" ht="14.25" hidden="false" customHeight="false" outlineLevel="0" collapsed="false">
      <c r="A104" s="28" t="s">
        <v>426</v>
      </c>
      <c r="B104" s="28" t="s">
        <v>427</v>
      </c>
      <c r="C104" s="28" t="s">
        <v>428</v>
      </c>
      <c r="D104" s="28" t="s">
        <v>429</v>
      </c>
      <c r="E104" s="28" t="n">
        <v>68680112</v>
      </c>
    </row>
    <row r="105" customFormat="false" ht="14.25" hidden="false" customHeight="false" outlineLevel="0" collapsed="false">
      <c r="A105" s="28" t="s">
        <v>415</v>
      </c>
      <c r="B105" s="28" t="s">
        <v>165</v>
      </c>
      <c r="C105" s="28" t="s">
        <v>416</v>
      </c>
      <c r="D105" s="28" t="s">
        <v>417</v>
      </c>
      <c r="E105" s="28"/>
    </row>
    <row r="106" customFormat="false" ht="23.85" hidden="false" customHeight="false" outlineLevel="0" collapsed="false">
      <c r="A106" s="28" t="s">
        <v>418</v>
      </c>
      <c r="B106" s="28" t="s">
        <v>419</v>
      </c>
      <c r="C106" s="28" t="s">
        <v>420</v>
      </c>
      <c r="D106" s="28" t="s">
        <v>421</v>
      </c>
      <c r="E106" s="28"/>
    </row>
    <row r="107" customFormat="false" ht="14.25" hidden="false" customHeight="false" outlineLevel="0" collapsed="false">
      <c r="A107" s="28" t="s">
        <v>337</v>
      </c>
      <c r="B107" s="28" t="s">
        <v>114</v>
      </c>
      <c r="C107" s="28" t="s">
        <v>340</v>
      </c>
      <c r="D107" s="28" t="s">
        <v>341</v>
      </c>
      <c r="E107" s="28"/>
    </row>
    <row r="108" customFormat="false" ht="14.25" hidden="false" customHeight="false" outlineLevel="0" collapsed="false">
      <c r="A108" s="28" t="s">
        <v>438</v>
      </c>
      <c r="B108" s="28" t="s">
        <v>28</v>
      </c>
      <c r="C108" s="28" t="s">
        <v>439</v>
      </c>
      <c r="D108" s="28" t="s">
        <v>440</v>
      </c>
      <c r="E108" s="28" t="n">
        <v>65528320</v>
      </c>
    </row>
    <row r="109" customFormat="false" ht="14.25" hidden="false" customHeight="false" outlineLevel="0" collapsed="false">
      <c r="A109" s="28" t="s">
        <v>441</v>
      </c>
      <c r="B109" s="28" t="s">
        <v>28</v>
      </c>
      <c r="C109" s="28" t="s">
        <v>442</v>
      </c>
      <c r="D109" s="28" t="s">
        <v>443</v>
      </c>
      <c r="E109" s="28" t="n">
        <v>65537410</v>
      </c>
    </row>
    <row r="110" customFormat="false" ht="14.25" hidden="false" customHeight="false" outlineLevel="0" collapsed="false">
      <c r="A110" s="28" t="s">
        <v>435</v>
      </c>
      <c r="B110" s="28" t="s">
        <v>25</v>
      </c>
      <c r="C110" s="28" t="s">
        <v>436</v>
      </c>
      <c r="D110" s="28" t="s">
        <v>437</v>
      </c>
      <c r="E110" s="28"/>
    </row>
    <row r="111" customFormat="false" ht="14.25" hidden="false" customHeight="false" outlineLevel="0" collapsed="false">
      <c r="A111" s="28" t="s">
        <v>430</v>
      </c>
      <c r="B111" s="28" t="s">
        <v>358</v>
      </c>
      <c r="C111" s="28" t="s">
        <v>431</v>
      </c>
      <c r="D111" s="28" t="s">
        <v>432</v>
      </c>
      <c r="E111" s="28" t="n">
        <v>45024317</v>
      </c>
    </row>
    <row r="112" customFormat="false" ht="14.25" hidden="false" customHeight="false" outlineLevel="0" collapsed="false">
      <c r="A112" s="28" t="s">
        <v>450</v>
      </c>
      <c r="B112" s="28" t="s">
        <v>28</v>
      </c>
      <c r="C112" s="28" t="s">
        <v>451</v>
      </c>
      <c r="D112" s="28" t="s">
        <v>452</v>
      </c>
      <c r="E112" s="28" t="n">
        <v>65606294</v>
      </c>
    </row>
    <row r="113" customFormat="false" ht="14.25" hidden="false" customHeight="false" outlineLevel="0" collapsed="false">
      <c r="A113" s="28" t="s">
        <v>453</v>
      </c>
      <c r="B113" s="28" t="s">
        <v>28</v>
      </c>
      <c r="C113" s="28" t="s">
        <v>454</v>
      </c>
      <c r="D113" s="28" t="s">
        <v>455</v>
      </c>
      <c r="E113" s="28" t="n">
        <v>65533066</v>
      </c>
    </row>
    <row r="114" customFormat="false" ht="14.25" hidden="false" customHeight="false" outlineLevel="0" collapsed="false">
      <c r="A114" s="28" t="s">
        <v>447</v>
      </c>
      <c r="B114" s="28" t="s">
        <v>25</v>
      </c>
      <c r="C114" s="28" t="s">
        <v>448</v>
      </c>
      <c r="D114" s="28" t="s">
        <v>449</v>
      </c>
      <c r="E114" s="28"/>
    </row>
    <row r="115" customFormat="false" ht="14.25" hidden="false" customHeight="false" outlineLevel="0" collapsed="false">
      <c r="A115" s="28" t="s">
        <v>268</v>
      </c>
      <c r="B115" s="28" t="s">
        <v>269</v>
      </c>
      <c r="C115" s="28" t="s">
        <v>270</v>
      </c>
      <c r="D115" s="28"/>
      <c r="E115" s="28" t="s">
        <v>159</v>
      </c>
    </row>
    <row r="116" customFormat="false" ht="14.25" hidden="false" customHeight="false" outlineLevel="0" collapsed="false">
      <c r="A116" s="28" t="s">
        <v>314</v>
      </c>
      <c r="B116" s="28" t="s">
        <v>39</v>
      </c>
      <c r="C116" s="28" t="s">
        <v>315</v>
      </c>
      <c r="D116" s="28" t="s">
        <v>316</v>
      </c>
      <c r="E116" s="28"/>
    </row>
    <row r="117" customFormat="false" ht="14.25" hidden="false" customHeight="false" outlineLevel="0" collapsed="false">
      <c r="A117" s="28" t="s">
        <v>317</v>
      </c>
      <c r="B117" s="28" t="s">
        <v>318</v>
      </c>
      <c r="C117" s="28" t="s">
        <v>319</v>
      </c>
      <c r="D117" s="28" t="s">
        <v>316</v>
      </c>
      <c r="E117" s="28"/>
    </row>
    <row r="118" customFormat="false" ht="14.25" hidden="false" customHeight="false" outlineLevel="0" collapsed="false">
      <c r="A118" s="28" t="s">
        <v>320</v>
      </c>
      <c r="B118" s="28" t="s">
        <v>318</v>
      </c>
      <c r="C118" s="28" t="s">
        <v>321</v>
      </c>
      <c r="D118" s="28" t="s">
        <v>316</v>
      </c>
      <c r="E118" s="28"/>
    </row>
    <row r="119" customFormat="false" ht="14.25" hidden="false" customHeight="false" outlineLevel="0" collapsed="false">
      <c r="A119" s="28" t="s">
        <v>398</v>
      </c>
      <c r="B119" s="28" t="s">
        <v>67</v>
      </c>
      <c r="C119" s="28" t="s">
        <v>396</v>
      </c>
      <c r="D119" s="28" t="s">
        <v>397</v>
      </c>
      <c r="E119" s="28"/>
    </row>
    <row r="120" customFormat="false" ht="14.25" hidden="false" customHeight="false" outlineLevel="0" collapsed="false">
      <c r="A120" s="28" t="s">
        <v>412</v>
      </c>
      <c r="B120" s="28" t="s">
        <v>413</v>
      </c>
      <c r="C120" s="28" t="s">
        <v>414</v>
      </c>
      <c r="D120" s="28" t="s">
        <v>316</v>
      </c>
      <c r="E120" s="28"/>
    </row>
    <row r="121" customFormat="false" ht="14.25" hidden="false" customHeight="false" outlineLevel="0" collapsed="false">
      <c r="A121" s="28" t="s">
        <v>257</v>
      </c>
      <c r="B121" s="28" t="s">
        <v>25</v>
      </c>
      <c r="C121" s="28" t="s">
        <v>258</v>
      </c>
      <c r="D121" s="28" t="s">
        <v>259</v>
      </c>
      <c r="E121" s="28"/>
    </row>
    <row r="122" customFormat="false" ht="14.25" hidden="false" customHeight="false" outlineLevel="0" collapsed="false">
      <c r="A122" s="28" t="s">
        <v>260</v>
      </c>
      <c r="B122" s="28" t="s">
        <v>39</v>
      </c>
      <c r="C122" s="28" t="s">
        <v>261</v>
      </c>
      <c r="D122" s="28" t="s">
        <v>262</v>
      </c>
      <c r="E122" s="28" t="s">
        <v>263</v>
      </c>
    </row>
    <row r="123" customFormat="false" ht="14.25" hidden="false" customHeight="false" outlineLevel="0" collapsed="false">
      <c r="A123" s="28" t="s">
        <v>264</v>
      </c>
      <c r="B123" s="28" t="s">
        <v>28</v>
      </c>
      <c r="C123" s="28" t="s">
        <v>265</v>
      </c>
      <c r="D123" s="28" t="s">
        <v>266</v>
      </c>
      <c r="E123" s="28" t="n">
        <v>99138892</v>
      </c>
    </row>
    <row r="124" customFormat="false" ht="14.25" hidden="false" customHeight="false" outlineLevel="0" collapsed="false">
      <c r="A124" s="28" t="s">
        <v>18</v>
      </c>
      <c r="B124" s="28" t="s">
        <v>19</v>
      </c>
      <c r="C124" s="28"/>
      <c r="D124" s="28"/>
      <c r="E124" s="28"/>
    </row>
    <row r="125" customFormat="false" ht="14.25" hidden="false" customHeight="false" outlineLevel="0" collapsed="false">
      <c r="A125" s="28" t="s">
        <v>406</v>
      </c>
      <c r="B125" s="28" t="s">
        <v>351</v>
      </c>
      <c r="C125" s="28" t="s">
        <v>407</v>
      </c>
      <c r="D125" s="28" t="s">
        <v>408</v>
      </c>
      <c r="E125" s="28"/>
    </row>
    <row r="126" customFormat="false" ht="14.25" hidden="false" customHeight="false" outlineLevel="0" collapsed="false">
      <c r="A126" s="28" t="s">
        <v>456</v>
      </c>
      <c r="B126" s="28" t="s">
        <v>77</v>
      </c>
      <c r="C126" s="28" t="s">
        <v>457</v>
      </c>
      <c r="D126" s="28" t="s">
        <v>159</v>
      </c>
      <c r="E126" s="28"/>
    </row>
    <row r="127" customFormat="false" ht="14.25" hidden="false" customHeight="false" outlineLevel="0" collapsed="false">
      <c r="A127" s="28" t="s">
        <v>156</v>
      </c>
      <c r="B127" s="28" t="s">
        <v>157</v>
      </c>
      <c r="C127" s="28" t="s">
        <v>158</v>
      </c>
      <c r="D127" s="28" t="s">
        <v>159</v>
      </c>
      <c r="E127" s="28"/>
    </row>
    <row r="128" customFormat="false" ht="14.25" hidden="false" customHeight="false" outlineLevel="0" collapsed="false">
      <c r="A128" s="28" t="s">
        <v>164</v>
      </c>
      <c r="B128" s="28" t="s">
        <v>165</v>
      </c>
      <c r="C128" s="28" t="s">
        <v>166</v>
      </c>
      <c r="D128" s="28" t="n">
        <v>192168118177</v>
      </c>
      <c r="E128" s="28"/>
    </row>
    <row r="129" customFormat="false" ht="14.25" hidden="false" customHeight="false" outlineLevel="0" collapsed="false">
      <c r="A129" s="28" t="s">
        <v>160</v>
      </c>
      <c r="B129" s="28" t="s">
        <v>161</v>
      </c>
      <c r="C129" s="28" t="s">
        <v>503</v>
      </c>
      <c r="D129" s="28" t="s">
        <v>163</v>
      </c>
      <c r="E129" s="28"/>
    </row>
    <row r="130" customFormat="false" ht="14.25" hidden="false" customHeight="false" outlineLevel="0" collapsed="false">
      <c r="A130" s="28" t="s">
        <v>433</v>
      </c>
      <c r="B130" s="28" t="s">
        <v>17</v>
      </c>
      <c r="C130" s="28" t="s">
        <v>17</v>
      </c>
      <c r="D130" s="28" t="s">
        <v>434</v>
      </c>
      <c r="E130" s="28"/>
    </row>
    <row r="131" customFormat="false" ht="14.25" hidden="false" customHeight="false" outlineLevel="0" collapsed="false">
      <c r="A131" s="28" t="s">
        <v>445</v>
      </c>
      <c r="B131" s="28" t="s">
        <v>17</v>
      </c>
      <c r="C131" s="28" t="s">
        <v>17</v>
      </c>
      <c r="D131" s="28" t="s">
        <v>446</v>
      </c>
      <c r="E131" s="28"/>
    </row>
    <row r="132" customFormat="false" ht="14.25" hidden="false" customHeight="false" outlineLevel="0" collapsed="false">
      <c r="A132" s="28" t="s">
        <v>13</v>
      </c>
      <c r="B132" s="28" t="s">
        <v>14</v>
      </c>
      <c r="C132" s="28" t="s">
        <v>15</v>
      </c>
      <c r="D132" s="28" t="s">
        <v>16</v>
      </c>
      <c r="E132" s="28" t="s">
        <v>17</v>
      </c>
    </row>
    <row r="133" customFormat="false" ht="23.85" hidden="false" customHeight="false" outlineLevel="0" collapsed="false">
      <c r="A133" s="28" t="s">
        <v>123</v>
      </c>
      <c r="B133" s="28" t="s">
        <v>14</v>
      </c>
      <c r="C133" s="28" t="s">
        <v>124</v>
      </c>
      <c r="D133" s="28" t="s">
        <v>125</v>
      </c>
      <c r="E133" s="28" t="s">
        <v>17</v>
      </c>
    </row>
    <row r="134" customFormat="false" ht="14.25" hidden="false" customHeight="false" outlineLevel="0" collapsed="false">
      <c r="A134" s="28" t="s">
        <v>504</v>
      </c>
      <c r="B134" s="28" t="s">
        <v>14</v>
      </c>
      <c r="C134" s="28" t="s">
        <v>124</v>
      </c>
      <c r="D134" s="28" t="s">
        <v>125</v>
      </c>
      <c r="E134" s="28"/>
    </row>
    <row r="135" customFormat="false" ht="14.25" hidden="false" customHeight="false" outlineLevel="0" collapsed="false">
      <c r="A135" s="28" t="s">
        <v>505</v>
      </c>
      <c r="B135" s="28" t="s">
        <v>272</v>
      </c>
      <c r="C135" s="28" t="s">
        <v>273</v>
      </c>
      <c r="D135" s="28" t="s">
        <v>274</v>
      </c>
      <c r="E135" s="28" t="n">
        <v>58042722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2026-07-17T14:20:37Z</dcterms:created>
  <dc:creator>openpyxl</dc:creator>
  <dc:description/>
  <dc:language>en-US</dc:language>
  <cp:lastModifiedBy/>
  <dcterms:modified xsi:type="dcterms:W3CDTF">2026-09-15T16:02:47Z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